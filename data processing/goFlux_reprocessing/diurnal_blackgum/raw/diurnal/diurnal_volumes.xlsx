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<sst xmlns="http://schemas.openxmlformats.org/spreadsheetml/2006/main" count="49" uniqueCount="43">
  <si>
    <t>VolumeID</t>
  </si>
  <si>
    <t>height1</t>
  </si>
  <si>
    <t>height2</t>
  </si>
  <si>
    <t>height3</t>
  </si>
  <si>
    <t>height4</t>
  </si>
  <si>
    <t>Mean Height</t>
  </si>
  <si>
    <t>Diameter</t>
  </si>
  <si>
    <t>Radius</t>
  </si>
  <si>
    <t>Volume of "cylinder" portion (mean height*radius2*pi) (cm3)</t>
  </si>
  <si>
    <t>Cylinder Volume in L</t>
  </si>
  <si>
    <t>Cap Volume</t>
  </si>
  <si>
    <t xml:space="preserve">Two tube Volume </t>
  </si>
  <si>
    <t>Volume</t>
  </si>
  <si>
    <t>surfarea</t>
  </si>
  <si>
    <t>CollarA0.32</t>
  </si>
  <si>
    <t>CollarB0.25</t>
  </si>
  <si>
    <t>CollarC0.35</t>
  </si>
  <si>
    <t>CollarA1.0</t>
  </si>
  <si>
    <t>CollarB0.9</t>
  </si>
  <si>
    <t>CollarC1.0</t>
  </si>
  <si>
    <t>TupperwareB</t>
  </si>
  <si>
    <t>cap calculation</t>
  </si>
  <si>
    <t>Total Height</t>
  </si>
  <si>
    <t>Height between top of inner cylinder to top of collar</t>
  </si>
  <si>
    <t>Height of inner cylinder</t>
  </si>
  <si>
    <t>Big diameter</t>
  </si>
  <si>
    <t>Big Radius</t>
  </si>
  <si>
    <t>Small Diameter</t>
  </si>
  <si>
    <t>Small Radius</t>
  </si>
  <si>
    <t xml:space="preserve">Volume of a cylinder: </t>
  </si>
  <si>
    <r>
      <rPr>
        <rFont val="&quot;Google Sans&quot;, Roboto, Arial, sans-serif"/>
        <color rgb="FF040C28"/>
        <sz val="12.0"/>
      </rPr>
      <t>π × radius2 × height</t>
    </r>
  </si>
  <si>
    <t xml:space="preserve">Volume of small inner cylinder: </t>
  </si>
  <si>
    <t>pi</t>
  </si>
  <si>
    <t>radius</t>
  </si>
  <si>
    <t>height</t>
  </si>
  <si>
    <t>volume</t>
  </si>
  <si>
    <t>units</t>
  </si>
  <si>
    <t>cm^3</t>
  </si>
  <si>
    <t xml:space="preserve">Volume of large upper cylinder: </t>
  </si>
  <si>
    <t>Total approximate volume:</t>
  </si>
  <si>
    <t>cm3</t>
  </si>
  <si>
    <t>OR</t>
  </si>
  <si>
    <t>liters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</si>
</sst>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3.63"/>
    <col customWidth="1" min="6" max="6" width="18.88"/>
    <col customWidth="1" min="7" max="8" width="15.75"/>
    <col customWidth="1" min="9" max="10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5.1</v>
      </c>
      <c r="C2" s="3">
        <v>6.1</v>
      </c>
      <c r="D2" s="3">
        <v>5.6</v>
      </c>
      <c r="E2" s="3">
        <v>5.9</v>
      </c>
      <c r="F2" s="4">
        <f t="shared" ref="F2:F7" si="1">AVERAGE(B2:E2)</f>
        <v>5.675</v>
      </c>
      <c r="G2" s="4">
        <f t="shared" ref="G2:G7" si="2">4*2.54</f>
        <v>10.16</v>
      </c>
      <c r="H2" s="4">
        <f t="shared" ref="H2:H7" si="3">G2/2</f>
        <v>5.08</v>
      </c>
      <c r="I2" s="4">
        <f t="shared" ref="I2:I7" si="4">PI()*H2^2*F2</f>
        <v>460.090391</v>
      </c>
      <c r="J2" s="4">
        <f t="shared" ref="J2:J7" si="5">I2*0.001</f>
        <v>0.460090391</v>
      </c>
      <c r="K2" s="4">
        <f>Sheet2!D16</f>
        <v>0.01979203372</v>
      </c>
      <c r="L2" s="4">
        <f t="shared" ref="L2:L8" si="6">(PI()*(0.3175/2)^2*400)*0.001*2</f>
        <v>0.06333843489</v>
      </c>
      <c r="M2" s="4">
        <f t="shared" ref="M2:M7" si="7">J2+K2+L2</f>
        <v>0.5432208596</v>
      </c>
      <c r="N2" s="3">
        <f t="shared" ref="N2:N7" si="8">PI()*(4*2.54/2)^2 / 100^2</f>
        <v>0.008107319666</v>
      </c>
    </row>
    <row r="3">
      <c r="A3" s="5" t="s">
        <v>15</v>
      </c>
      <c r="B3" s="3">
        <v>4.5</v>
      </c>
      <c r="C3" s="3">
        <v>5.0</v>
      </c>
      <c r="D3" s="3">
        <v>5.3</v>
      </c>
      <c r="E3" s="3">
        <v>5.5</v>
      </c>
      <c r="F3" s="4">
        <f t="shared" si="1"/>
        <v>5.075</v>
      </c>
      <c r="G3" s="4">
        <f t="shared" si="2"/>
        <v>10.16</v>
      </c>
      <c r="H3" s="4">
        <f t="shared" si="3"/>
        <v>5.08</v>
      </c>
      <c r="I3" s="4">
        <f t="shared" si="4"/>
        <v>411.446473</v>
      </c>
      <c r="J3" s="4">
        <f t="shared" si="5"/>
        <v>0.411446473</v>
      </c>
      <c r="K3" s="4">
        <f>Sheet2!D16</f>
        <v>0.01979203372</v>
      </c>
      <c r="L3" s="4">
        <f t="shared" si="6"/>
        <v>0.06333843489</v>
      </c>
      <c r="M3" s="4">
        <f t="shared" si="7"/>
        <v>0.4945769416</v>
      </c>
      <c r="N3" s="3">
        <f t="shared" si="8"/>
        <v>0.008107319666</v>
      </c>
    </row>
    <row r="4">
      <c r="A4" s="5" t="s">
        <v>16</v>
      </c>
      <c r="B4" s="3">
        <v>4.6</v>
      </c>
      <c r="C4" s="3">
        <v>5.2</v>
      </c>
      <c r="D4" s="3">
        <v>4.9</v>
      </c>
      <c r="E4" s="3">
        <v>5.0</v>
      </c>
      <c r="F4" s="4">
        <f t="shared" si="1"/>
        <v>4.925</v>
      </c>
      <c r="G4" s="4">
        <f t="shared" si="2"/>
        <v>10.16</v>
      </c>
      <c r="H4" s="4">
        <f t="shared" si="3"/>
        <v>5.08</v>
      </c>
      <c r="I4" s="4">
        <f t="shared" si="4"/>
        <v>399.2854935</v>
      </c>
      <c r="J4" s="4">
        <f t="shared" si="5"/>
        <v>0.3992854935</v>
      </c>
      <c r="K4" s="4">
        <f>Sheet2!D16</f>
        <v>0.01979203372</v>
      </c>
      <c r="L4" s="4">
        <f t="shared" si="6"/>
        <v>0.06333843489</v>
      </c>
      <c r="M4" s="4">
        <f t="shared" si="7"/>
        <v>0.4824159621</v>
      </c>
      <c r="N4" s="3">
        <f t="shared" si="8"/>
        <v>0.008107319666</v>
      </c>
    </row>
    <row r="5">
      <c r="A5" s="5" t="s">
        <v>17</v>
      </c>
      <c r="B5" s="3">
        <v>3.7</v>
      </c>
      <c r="C5" s="3">
        <v>4.3</v>
      </c>
      <c r="D5" s="3">
        <v>3.3</v>
      </c>
      <c r="E5" s="3">
        <v>4.1</v>
      </c>
      <c r="F5" s="4">
        <f t="shared" si="1"/>
        <v>3.85</v>
      </c>
      <c r="G5" s="4">
        <f t="shared" si="2"/>
        <v>10.16</v>
      </c>
      <c r="H5" s="4">
        <f t="shared" si="3"/>
        <v>5.08</v>
      </c>
      <c r="I5" s="4">
        <f t="shared" si="4"/>
        <v>312.1318071</v>
      </c>
      <c r="J5" s="4">
        <f t="shared" si="5"/>
        <v>0.3121318071</v>
      </c>
      <c r="K5" s="4">
        <f>Sheet2!D16</f>
        <v>0.01979203372</v>
      </c>
      <c r="L5" s="4">
        <f t="shared" si="6"/>
        <v>0.06333843489</v>
      </c>
      <c r="M5" s="4">
        <f t="shared" si="7"/>
        <v>0.3952622757</v>
      </c>
      <c r="N5" s="3">
        <f t="shared" si="8"/>
        <v>0.008107319666</v>
      </c>
    </row>
    <row r="6">
      <c r="A6" s="5" t="s">
        <v>18</v>
      </c>
      <c r="B6" s="3">
        <v>4.8</v>
      </c>
      <c r="C6" s="3">
        <v>5.0</v>
      </c>
      <c r="D6" s="3">
        <v>4.8</v>
      </c>
      <c r="E6" s="3">
        <v>6.0</v>
      </c>
      <c r="F6" s="4">
        <f t="shared" si="1"/>
        <v>5.15</v>
      </c>
      <c r="G6" s="4">
        <f t="shared" si="2"/>
        <v>10.16</v>
      </c>
      <c r="H6" s="4">
        <f t="shared" si="3"/>
        <v>5.08</v>
      </c>
      <c r="I6" s="4">
        <f t="shared" si="4"/>
        <v>417.5269628</v>
      </c>
      <c r="J6" s="4">
        <f t="shared" si="5"/>
        <v>0.4175269628</v>
      </c>
      <c r="K6" s="4">
        <f>Sheet2!D16</f>
        <v>0.01979203372</v>
      </c>
      <c r="L6" s="4">
        <f t="shared" si="6"/>
        <v>0.06333843489</v>
      </c>
      <c r="M6" s="4">
        <f t="shared" si="7"/>
        <v>0.5006574314</v>
      </c>
      <c r="N6" s="3">
        <f t="shared" si="8"/>
        <v>0.008107319666</v>
      </c>
    </row>
    <row r="7">
      <c r="A7" s="5" t="s">
        <v>19</v>
      </c>
      <c r="B7" s="3">
        <v>5.7</v>
      </c>
      <c r="C7" s="3">
        <v>6.1</v>
      </c>
      <c r="D7" s="3">
        <v>5.6</v>
      </c>
      <c r="E7" s="3">
        <v>5.9</v>
      </c>
      <c r="F7" s="4">
        <f t="shared" si="1"/>
        <v>5.825</v>
      </c>
      <c r="G7" s="4">
        <f t="shared" si="2"/>
        <v>10.16</v>
      </c>
      <c r="H7" s="4">
        <f t="shared" si="3"/>
        <v>5.08</v>
      </c>
      <c r="I7" s="4">
        <f t="shared" si="4"/>
        <v>472.2513705</v>
      </c>
      <c r="J7" s="4">
        <f t="shared" si="5"/>
        <v>0.4722513705</v>
      </c>
      <c r="K7" s="4">
        <f>Sheet2!D16</f>
        <v>0.01979203372</v>
      </c>
      <c r="L7" s="4">
        <f t="shared" si="6"/>
        <v>0.06333843489</v>
      </c>
      <c r="M7" s="4">
        <f t="shared" si="7"/>
        <v>0.5553818391</v>
      </c>
      <c r="N7" s="3">
        <f t="shared" si="8"/>
        <v>0.008107319666</v>
      </c>
    </row>
    <row r="8">
      <c r="A8" s="5" t="s">
        <v>20</v>
      </c>
      <c r="J8" s="3">
        <v>0.31</v>
      </c>
      <c r="L8" s="4">
        <f t="shared" si="6"/>
        <v>0.06333843489</v>
      </c>
      <c r="M8" s="3">
        <f>L8+J8</f>
        <v>0.3733384349</v>
      </c>
      <c r="N8" s="4">
        <f>(11.5*8.5)/(100*100)</f>
        <v>0.009775</v>
      </c>
    </row>
    <row r="9">
      <c r="G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</cols>
  <sheetData>
    <row r="1">
      <c r="A1" s="1" t="s">
        <v>21</v>
      </c>
      <c r="B1" s="7"/>
      <c r="C1" s="7"/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</row>
    <row r="3">
      <c r="A3" s="3">
        <v>4.7</v>
      </c>
      <c r="B3" s="3">
        <v>1.9</v>
      </c>
      <c r="C3" s="3">
        <f>A3-B3</f>
        <v>2.8</v>
      </c>
      <c r="D3" s="3">
        <v>11.1</v>
      </c>
      <c r="E3" s="3">
        <f>D3/2</f>
        <v>5.55</v>
      </c>
      <c r="F3" s="3">
        <v>3.0</v>
      </c>
      <c r="G3" s="3">
        <v>1.5</v>
      </c>
    </row>
    <row r="5">
      <c r="A5" s="1" t="s">
        <v>29</v>
      </c>
      <c r="C5" s="3" t="s">
        <v>30</v>
      </c>
    </row>
    <row r="6">
      <c r="A6" s="1" t="s">
        <v>31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</row>
    <row r="8">
      <c r="A8" s="4">
        <f>PI()</f>
        <v>3.141592654</v>
      </c>
      <c r="B8" s="4">
        <f>G3</f>
        <v>1.5</v>
      </c>
      <c r="C8" s="4">
        <f>C3</f>
        <v>2.8</v>
      </c>
      <c r="D8" s="4">
        <f>A8*(B8^2)*C8</f>
        <v>19.79203372</v>
      </c>
      <c r="E8" s="3" t="s">
        <v>37</v>
      </c>
    </row>
    <row r="10">
      <c r="A10" s="1" t="s">
        <v>38</v>
      </c>
    </row>
    <row r="11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</row>
    <row r="12">
      <c r="A12" s="4">
        <f>PI()</f>
        <v>3.141592654</v>
      </c>
      <c r="B12" s="4">
        <f>E3</f>
        <v>5.55</v>
      </c>
      <c r="C12" s="4">
        <f>B3</f>
        <v>1.9</v>
      </c>
      <c r="D12" s="4">
        <f>A12*(B12^2)*C12</f>
        <v>183.8609247</v>
      </c>
      <c r="E12" s="3" t="s">
        <v>37</v>
      </c>
    </row>
    <row r="14">
      <c r="A14" s="1" t="s">
        <v>39</v>
      </c>
    </row>
    <row r="15">
      <c r="A15" s="4">
        <f>D12+D8</f>
        <v>203.6529584</v>
      </c>
      <c r="B15" s="3" t="s">
        <v>40</v>
      </c>
      <c r="C15" s="3" t="s">
        <v>41</v>
      </c>
      <c r="D15" s="4">
        <f>A15*(0.001)</f>
        <v>0.2036529584</v>
      </c>
      <c r="E15" s="3" t="s">
        <v>42</v>
      </c>
    </row>
    <row r="16">
      <c r="D16" s="4">
        <f>D8*(0.001)</f>
        <v>0.01979203372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6A08108-440E-4AA2-9D7B-5586B44B5E40}"/>
</file>

<file path=customXml/itemProps2.xml><?xml version="1.0" encoding="utf-8"?>
<ds:datastoreItem xmlns:ds="http://schemas.openxmlformats.org/officeDocument/2006/customXml" ds:itemID="{B9B0CBEA-B889-4AE3-AE90-7E6C07E0454A}"/>
</file>

<file path=customXml/itemProps3.xml><?xml version="1.0" encoding="utf-8"?>
<ds:datastoreItem xmlns:ds="http://schemas.openxmlformats.org/officeDocument/2006/customXml" ds:itemID="{23A0466C-5612-4D3E-86E1-2D4F92E70AD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