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U4h5gAbu/t0vdVtAirlqeX1BH+2nNrkplSVgK6htttE="/>
    </ext>
  </extLst>
</workbook>
</file>

<file path=xl/sharedStrings.xml><?xml version="1.0" encoding="utf-8"?>
<sst xmlns="http://schemas.openxmlformats.org/spreadsheetml/2006/main" count="438" uniqueCount="139">
  <si>
    <t>Table 1</t>
  </si>
  <si>
    <t>UniqueID</t>
  </si>
  <si>
    <t>Analyzer</t>
  </si>
  <si>
    <t>VolumeID</t>
  </si>
  <si>
    <t>Position</t>
  </si>
  <si>
    <t>Height (m)</t>
  </si>
  <si>
    <t>Volume</t>
  </si>
  <si>
    <t>Surface Area</t>
  </si>
  <si>
    <t>Chamber Type</t>
  </si>
  <si>
    <t>Start (iPad)</t>
  </si>
  <si>
    <t>End (iPad)</t>
  </si>
  <si>
    <t>Time Offset</t>
  </si>
  <si>
    <t>Start (LGR)</t>
  </si>
  <si>
    <t>End (LGR)</t>
  </si>
  <si>
    <t>updated_start</t>
  </si>
  <si>
    <t>updated_end</t>
  </si>
  <si>
    <t>Notes</t>
  </si>
  <si>
    <t>BGM1</t>
  </si>
  <si>
    <t>LGR3</t>
  </si>
  <si>
    <t>A0.32</t>
  </si>
  <si>
    <t>Collar</t>
  </si>
  <si>
    <t>BGM2</t>
  </si>
  <si>
    <t>B0.25</t>
  </si>
  <si>
    <t>BGM3</t>
  </si>
  <si>
    <t>C0.35</t>
  </si>
  <si>
    <t>BGM4</t>
  </si>
  <si>
    <t>A1.0</t>
  </si>
  <si>
    <t>BGM5</t>
  </si>
  <si>
    <t>B0.9</t>
  </si>
  <si>
    <t>BGM6</t>
  </si>
  <si>
    <t>C1.0</t>
  </si>
  <si>
    <t>BGM7</t>
  </si>
  <si>
    <t>A2.0</t>
  </si>
  <si>
    <t>TupperwareB</t>
  </si>
  <si>
    <t>BGM8</t>
  </si>
  <si>
    <t>B2.0</t>
  </si>
  <si>
    <t>BGM9</t>
  </si>
  <si>
    <t>C2.0</t>
  </si>
  <si>
    <t>BGM10</t>
  </si>
  <si>
    <t>A3.0</t>
  </si>
  <si>
    <t>BGM11</t>
  </si>
  <si>
    <t>BGM12</t>
  </si>
  <si>
    <t>BGM13</t>
  </si>
  <si>
    <t>BGM14</t>
  </si>
  <si>
    <t>BGM15</t>
  </si>
  <si>
    <t>BGM16</t>
  </si>
  <si>
    <t>Potential leak redid</t>
  </si>
  <si>
    <t>BGM17</t>
  </si>
  <si>
    <t>BGM18</t>
  </si>
  <si>
    <t>BGM19</t>
  </si>
  <si>
    <t>BGM20</t>
  </si>
  <si>
    <t>BGM21</t>
  </si>
  <si>
    <t>BGM22</t>
  </si>
  <si>
    <t>BGM23</t>
  </si>
  <si>
    <t>BGM24</t>
  </si>
  <si>
    <t>BGM25</t>
  </si>
  <si>
    <t>BGM26</t>
  </si>
  <si>
    <t>BGM27</t>
  </si>
  <si>
    <t>BGM28</t>
  </si>
  <si>
    <t>BGM29</t>
  </si>
  <si>
    <t>BGM30</t>
  </si>
  <si>
    <t>BGM31</t>
  </si>
  <si>
    <t>BGM32</t>
  </si>
  <si>
    <t>BGM33</t>
  </si>
  <si>
    <t>BGM34</t>
  </si>
  <si>
    <t>BGM35</t>
  </si>
  <si>
    <t>BGM36</t>
  </si>
  <si>
    <t>BGM37</t>
  </si>
  <si>
    <t>BGM38</t>
  </si>
  <si>
    <t>BGM39</t>
  </si>
  <si>
    <t>BGM40</t>
  </si>
  <si>
    <t>BGM41</t>
  </si>
  <si>
    <t>BGM42</t>
  </si>
  <si>
    <t>BGM43</t>
  </si>
  <si>
    <t>BGM44</t>
  </si>
  <si>
    <t>BGM45</t>
  </si>
  <si>
    <t>BGM46</t>
  </si>
  <si>
    <t>BGM47</t>
  </si>
  <si>
    <t>BGM48</t>
  </si>
  <si>
    <t>BGM49</t>
  </si>
  <si>
    <t>BGM50</t>
  </si>
  <si>
    <t>BGM51</t>
  </si>
  <si>
    <t>BGM52</t>
  </si>
  <si>
    <t>BGM53</t>
  </si>
  <si>
    <t>BGM54</t>
  </si>
  <si>
    <t>BGM55</t>
  </si>
  <si>
    <t>BGM56</t>
  </si>
  <si>
    <t>BGM57</t>
  </si>
  <si>
    <t>BGM58</t>
  </si>
  <si>
    <t>BGM59</t>
  </si>
  <si>
    <t>BGM60</t>
  </si>
  <si>
    <t>BGM61</t>
  </si>
  <si>
    <t>BGM62</t>
  </si>
  <si>
    <t>BGM63</t>
  </si>
  <si>
    <t>BGM64</t>
  </si>
  <si>
    <t>BGM65</t>
  </si>
  <si>
    <t>BGM66</t>
  </si>
  <si>
    <t>BGM67</t>
  </si>
  <si>
    <t>BGM68</t>
  </si>
  <si>
    <t>BGM69</t>
  </si>
  <si>
    <t>BGM70</t>
  </si>
  <si>
    <t>BGM71</t>
  </si>
  <si>
    <t>BGM72</t>
  </si>
  <si>
    <t>BGM73</t>
  </si>
  <si>
    <t>BGM74</t>
  </si>
  <si>
    <t>BGM75</t>
  </si>
  <si>
    <t>BGM76</t>
  </si>
  <si>
    <t>BGM77</t>
  </si>
  <si>
    <t>BGM78</t>
  </si>
  <si>
    <t>BGM79</t>
  </si>
  <si>
    <t>BGM80</t>
  </si>
  <si>
    <t>BGM81</t>
  </si>
  <si>
    <t>BGM82</t>
  </si>
  <si>
    <t>BGM83</t>
  </si>
  <si>
    <t>BGM84</t>
  </si>
  <si>
    <t>BGM85</t>
  </si>
  <si>
    <t>BGM86</t>
  </si>
  <si>
    <t>BGM87</t>
  </si>
  <si>
    <t>BGM88</t>
  </si>
  <si>
    <t>BGM89</t>
  </si>
  <si>
    <t>BGM90</t>
  </si>
  <si>
    <t>BGM91</t>
  </si>
  <si>
    <t>BGM92</t>
  </si>
  <si>
    <t>BGM93</t>
  </si>
  <si>
    <t>B3.0</t>
  </si>
  <si>
    <t>BGM94</t>
  </si>
  <si>
    <t>C3.0</t>
  </si>
  <si>
    <t>BGM95</t>
  </si>
  <si>
    <t>A3.6</t>
  </si>
  <si>
    <t>BGM96</t>
  </si>
  <si>
    <t>BGM97</t>
  </si>
  <si>
    <t>BGM98</t>
  </si>
  <si>
    <t>BGM99</t>
  </si>
  <si>
    <t>BGM100</t>
  </si>
  <si>
    <t>BGM101</t>
  </si>
  <si>
    <t>BGM102</t>
  </si>
  <si>
    <t>BGM103</t>
  </si>
  <si>
    <t>BGM104</t>
  </si>
  <si>
    <t>BGM105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</si>
</sst>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5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0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49" xfId="0" applyAlignment="1" applyBorder="1" applyFill="1" applyFont="1" applyNumberFormat="1">
      <alignment shrinkToFit="0" vertical="top" wrapText="1"/>
    </xf>
    <xf borderId="1" fillId="2" fontId="3" numFmtId="49" xfId="0" applyAlignment="1" applyBorder="1" applyFont="1" applyNumberFormat="1">
      <alignment readingOrder="0" shrinkToFit="0" vertical="top" wrapText="1"/>
    </xf>
    <xf borderId="2" fillId="3" fontId="3" numFmtId="49" xfId="0" applyAlignment="1" applyBorder="1" applyFill="1" applyFont="1" applyNumberFormat="1">
      <alignment shrinkToFit="0" vertical="top" wrapText="1"/>
    </xf>
    <xf borderId="3" fillId="3" fontId="3" numFmtId="49" xfId="0" applyAlignment="1" applyBorder="1" applyFont="1" applyNumberFormat="1">
      <alignment shrinkToFit="0" vertical="top" wrapText="1"/>
    </xf>
    <xf borderId="4" fillId="0" fontId="2" numFmtId="49" xfId="0" applyAlignment="1" applyBorder="1" applyFont="1" applyNumberFormat="1">
      <alignment shrinkToFit="0" vertical="top" wrapText="1"/>
    </xf>
    <xf borderId="5" fillId="0" fontId="2" numFmtId="49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6" fillId="0" fontId="2" numFmtId="49" xfId="0" applyAlignment="1" applyBorder="1" applyFont="1" applyNumberFormat="1">
      <alignment shrinkToFit="0" vertical="top" wrapText="1"/>
    </xf>
    <xf borderId="6" fillId="0" fontId="2" numFmtId="164" xfId="0" applyAlignment="1" applyBorder="1" applyFont="1" applyNumberFormat="1">
      <alignment shrinkToFit="0" vertical="top" wrapText="1"/>
    </xf>
    <xf borderId="6" fillId="0" fontId="2" numFmtId="46" xfId="0" applyAlignment="1" applyBorder="1" applyFont="1" applyNumberFormat="1">
      <alignment shrinkToFit="0" vertical="top" wrapText="1"/>
    </xf>
    <xf borderId="6" fillId="0" fontId="4" numFmtId="164" xfId="0" applyAlignment="1" applyBorder="1" applyFont="1" applyNumberFormat="1">
      <alignment horizontal="right" shrinkToFit="0" vertical="top" wrapText="1"/>
    </xf>
    <xf borderId="7" fillId="3" fontId="3" numFmtId="49" xfId="0" applyAlignment="1" applyBorder="1" applyFont="1" applyNumberFormat="1">
      <alignment shrinkToFit="0" vertical="top" wrapText="1"/>
    </xf>
    <xf borderId="8" fillId="0" fontId="2" numFmtId="49" xfId="0" applyAlignment="1" applyBorder="1" applyFont="1" applyNumberForma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9" fillId="0" fontId="2" numFmtId="49" xfId="0" applyAlignment="1" applyBorder="1" applyFont="1" applyNumberFormat="1">
      <alignment shrinkToFit="0" vertical="top" wrapText="1"/>
    </xf>
    <xf borderId="9" fillId="0" fontId="2" numFmtId="164" xfId="0" applyAlignment="1" applyBorder="1" applyFont="1" applyNumberFormat="1">
      <alignment shrinkToFit="0" vertical="top" wrapText="1"/>
    </xf>
    <xf borderId="9" fillId="0" fontId="2" numFmtId="46" xfId="0" applyAlignment="1" applyBorder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8" width="16.29"/>
    <col customWidth="1" min="9" max="10" width="18.14"/>
    <col customWidth="1" min="11" max="11" width="10.43"/>
    <col customWidth="1" min="12" max="13" width="18.14"/>
    <col customWidth="1" min="14" max="14" width="19.57"/>
    <col customWidth="1" min="15" max="15" width="18.14"/>
    <col customWidth="1" min="16" max="29" width="16.29"/>
  </cols>
  <sheetData>
    <row r="1" ht="27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0.0" customHeight="1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  <c r="O2" s="4" t="s">
        <v>15</v>
      </c>
      <c r="P2" s="3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0.25" customHeight="1">
      <c r="A3" s="5" t="s">
        <v>17</v>
      </c>
      <c r="B3" s="6" t="s">
        <v>18</v>
      </c>
      <c r="C3" s="7" t="str">
        <f t="shared" ref="C3:C8" si="1">CONCATENATE(H3,D3)</f>
        <v>CollarA0.32</v>
      </c>
      <c r="D3" s="8" t="s">
        <v>19</v>
      </c>
      <c r="E3" s="9">
        <v>0.25</v>
      </c>
      <c r="F3" s="9"/>
      <c r="G3" s="9"/>
      <c r="H3" s="10" t="s">
        <v>20</v>
      </c>
      <c r="I3" s="11">
        <v>45532.504745370374</v>
      </c>
      <c r="J3" s="11">
        <v>45532.50607638889</v>
      </c>
      <c r="K3" s="12">
        <v>0.007905092592592592</v>
      </c>
      <c r="L3" s="11">
        <f t="shared" ref="L3:L107" si="2">I3+K3</f>
        <v>45532.51265</v>
      </c>
      <c r="M3" s="11">
        <f t="shared" ref="M3:M107" si="3">J3+K3</f>
        <v>45532.51398</v>
      </c>
      <c r="N3" s="13">
        <f t="shared" ref="N3:N91" si="4">I3+K3</f>
        <v>45532.51265</v>
      </c>
      <c r="O3" s="13">
        <f t="shared" ref="O3:O105" si="5">J3+K3</f>
        <v>45532.51398</v>
      </c>
      <c r="P3" s="9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9.5" customHeight="1">
      <c r="A4" s="14" t="s">
        <v>21</v>
      </c>
      <c r="B4" s="6" t="s">
        <v>18</v>
      </c>
      <c r="C4" s="7" t="str">
        <f t="shared" si="1"/>
        <v>CollarB0.25</v>
      </c>
      <c r="D4" s="15" t="s">
        <v>22</v>
      </c>
      <c r="E4" s="16">
        <v>0.25</v>
      </c>
      <c r="F4" s="16"/>
      <c r="G4" s="16"/>
      <c r="H4" s="17" t="s">
        <v>20</v>
      </c>
      <c r="I4" s="18">
        <v>45532.506631944445</v>
      </c>
      <c r="J4" s="18">
        <v>45532.50865740741</v>
      </c>
      <c r="K4" s="19">
        <v>0.007905092592592592</v>
      </c>
      <c r="L4" s="18">
        <f t="shared" si="2"/>
        <v>45532.51454</v>
      </c>
      <c r="M4" s="18">
        <f t="shared" si="3"/>
        <v>45532.51656</v>
      </c>
      <c r="N4" s="13">
        <f t="shared" si="4"/>
        <v>45532.51454</v>
      </c>
      <c r="O4" s="13">
        <f t="shared" si="5"/>
        <v>45532.51656</v>
      </c>
      <c r="P4" s="16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9.5" customHeight="1">
      <c r="A5" s="14" t="s">
        <v>23</v>
      </c>
      <c r="B5" s="6" t="s">
        <v>18</v>
      </c>
      <c r="C5" s="7" t="str">
        <f t="shared" si="1"/>
        <v>CollarC0.35</v>
      </c>
      <c r="D5" s="15" t="s">
        <v>24</v>
      </c>
      <c r="E5" s="16">
        <v>0.25</v>
      </c>
      <c r="F5" s="16"/>
      <c r="G5" s="16"/>
      <c r="H5" s="17" t="s">
        <v>20</v>
      </c>
      <c r="I5" s="18">
        <v>45532.50953703704</v>
      </c>
      <c r="J5" s="18">
        <v>45532.511400462965</v>
      </c>
      <c r="K5" s="19">
        <v>0.007905092592592592</v>
      </c>
      <c r="L5" s="18">
        <f t="shared" si="2"/>
        <v>45532.51744</v>
      </c>
      <c r="M5" s="18">
        <f t="shared" si="3"/>
        <v>45532.51931</v>
      </c>
      <c r="N5" s="13">
        <f t="shared" si="4"/>
        <v>45532.51744</v>
      </c>
      <c r="O5" s="13">
        <f t="shared" si="5"/>
        <v>45532.51931</v>
      </c>
      <c r="P5" s="16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9.5" customHeight="1">
      <c r="A6" s="14" t="s">
        <v>25</v>
      </c>
      <c r="B6" s="6" t="s">
        <v>18</v>
      </c>
      <c r="C6" s="7" t="str">
        <f t="shared" si="1"/>
        <v>CollarA1.0</v>
      </c>
      <c r="D6" s="15" t="s">
        <v>26</v>
      </c>
      <c r="E6" s="16">
        <v>1.0</v>
      </c>
      <c r="F6" s="16"/>
      <c r="G6" s="16"/>
      <c r="H6" s="17" t="s">
        <v>20</v>
      </c>
      <c r="I6" s="18">
        <v>45532.49444444444</v>
      </c>
      <c r="J6" s="18">
        <v>45532.49586805556</v>
      </c>
      <c r="K6" s="19">
        <v>0.007905092592592592</v>
      </c>
      <c r="L6" s="18">
        <f t="shared" si="2"/>
        <v>45532.50235</v>
      </c>
      <c r="M6" s="18">
        <f t="shared" si="3"/>
        <v>45532.50377</v>
      </c>
      <c r="N6" s="13">
        <f t="shared" si="4"/>
        <v>45532.50235</v>
      </c>
      <c r="O6" s="13">
        <f t="shared" si="5"/>
        <v>45532.50377</v>
      </c>
      <c r="P6" s="16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9.5" customHeight="1">
      <c r="A7" s="14" t="s">
        <v>27</v>
      </c>
      <c r="B7" s="6" t="s">
        <v>18</v>
      </c>
      <c r="C7" s="7" t="str">
        <f t="shared" si="1"/>
        <v>CollarB0.9</v>
      </c>
      <c r="D7" s="15" t="s">
        <v>28</v>
      </c>
      <c r="E7" s="16">
        <v>1.0</v>
      </c>
      <c r="F7" s="16"/>
      <c r="G7" s="16"/>
      <c r="H7" s="17" t="s">
        <v>20</v>
      </c>
      <c r="I7" s="18">
        <v>45532.4962962963</v>
      </c>
      <c r="J7" s="18">
        <v>45532.49773148148</v>
      </c>
      <c r="K7" s="19">
        <v>0.007905092592592592</v>
      </c>
      <c r="L7" s="18">
        <f t="shared" si="2"/>
        <v>45532.5042</v>
      </c>
      <c r="M7" s="18">
        <f t="shared" si="3"/>
        <v>45532.50564</v>
      </c>
      <c r="N7" s="13">
        <f t="shared" si="4"/>
        <v>45532.5042</v>
      </c>
      <c r="O7" s="13">
        <f t="shared" si="5"/>
        <v>45532.50564</v>
      </c>
      <c r="P7" s="16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9.5" customHeight="1">
      <c r="A8" s="14" t="s">
        <v>29</v>
      </c>
      <c r="B8" s="6" t="s">
        <v>18</v>
      </c>
      <c r="C8" s="7" t="str">
        <f t="shared" si="1"/>
        <v>CollarC1.0</v>
      </c>
      <c r="D8" s="15" t="s">
        <v>30</v>
      </c>
      <c r="E8" s="16">
        <v>1.0</v>
      </c>
      <c r="F8" s="16"/>
      <c r="G8" s="16"/>
      <c r="H8" s="17" t="s">
        <v>20</v>
      </c>
      <c r="I8" s="18">
        <v>45532.50251157407</v>
      </c>
      <c r="J8" s="18">
        <v>45532.50392361111</v>
      </c>
      <c r="K8" s="19">
        <v>0.007905092592592592</v>
      </c>
      <c r="L8" s="18">
        <f t="shared" si="2"/>
        <v>45532.51042</v>
      </c>
      <c r="M8" s="18">
        <f t="shared" si="3"/>
        <v>45532.51183</v>
      </c>
      <c r="N8" s="13">
        <f t="shared" si="4"/>
        <v>45532.51042</v>
      </c>
      <c r="O8" s="13">
        <f t="shared" si="5"/>
        <v>45532.51183</v>
      </c>
      <c r="P8" s="16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9.5" customHeight="1">
      <c r="A9" s="14" t="s">
        <v>31</v>
      </c>
      <c r="B9" s="6" t="s">
        <v>18</v>
      </c>
      <c r="C9" s="7" t="str">
        <f t="shared" ref="C9:C14" si="6">H9</f>
        <v>TupperwareB</v>
      </c>
      <c r="D9" s="15" t="s">
        <v>32</v>
      </c>
      <c r="E9" s="16">
        <v>2.0</v>
      </c>
      <c r="F9" s="16"/>
      <c r="G9" s="16"/>
      <c r="H9" s="17" t="s">
        <v>33</v>
      </c>
      <c r="I9" s="18">
        <v>45532.48180555556</v>
      </c>
      <c r="J9" s="18">
        <v>45532.48420138889</v>
      </c>
      <c r="K9" s="19">
        <v>0.007905092592592592</v>
      </c>
      <c r="L9" s="18">
        <f t="shared" si="2"/>
        <v>45532.48971</v>
      </c>
      <c r="M9" s="18">
        <f t="shared" si="3"/>
        <v>45532.49211</v>
      </c>
      <c r="N9" s="13">
        <f t="shared" si="4"/>
        <v>45532.48971</v>
      </c>
      <c r="O9" s="13">
        <f t="shared" si="5"/>
        <v>45532.49211</v>
      </c>
      <c r="P9" s="16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9.5" customHeight="1">
      <c r="A10" s="14" t="s">
        <v>34</v>
      </c>
      <c r="B10" s="6" t="s">
        <v>18</v>
      </c>
      <c r="C10" s="7" t="str">
        <f t="shared" si="6"/>
        <v>TupperwareB</v>
      </c>
      <c r="D10" s="15" t="s">
        <v>35</v>
      </c>
      <c r="E10" s="16">
        <v>2.0</v>
      </c>
      <c r="F10" s="16"/>
      <c r="G10" s="16"/>
      <c r="H10" s="17" t="s">
        <v>33</v>
      </c>
      <c r="I10" s="18">
        <v>45532.485</v>
      </c>
      <c r="J10" s="18">
        <v>45532.487337962964</v>
      </c>
      <c r="K10" s="19">
        <v>0.007905092592592592</v>
      </c>
      <c r="L10" s="18">
        <f t="shared" si="2"/>
        <v>45532.49291</v>
      </c>
      <c r="M10" s="18">
        <f t="shared" si="3"/>
        <v>45532.49524</v>
      </c>
      <c r="N10" s="13">
        <f t="shared" si="4"/>
        <v>45532.49291</v>
      </c>
      <c r="O10" s="13">
        <f t="shared" si="5"/>
        <v>45532.49524</v>
      </c>
      <c r="P10" s="16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9.5" customHeight="1">
      <c r="A11" s="14" t="s">
        <v>36</v>
      </c>
      <c r="B11" s="6" t="s">
        <v>18</v>
      </c>
      <c r="C11" s="7" t="str">
        <f t="shared" si="6"/>
        <v>TupperwareB</v>
      </c>
      <c r="D11" s="15" t="s">
        <v>37</v>
      </c>
      <c r="E11" s="16">
        <v>2.0</v>
      </c>
      <c r="F11" s="16"/>
      <c r="G11" s="16"/>
      <c r="H11" s="17" t="s">
        <v>33</v>
      </c>
      <c r="I11" s="18">
        <v>45532.49138888889</v>
      </c>
      <c r="J11" s="18">
        <v>45532.4930787037</v>
      </c>
      <c r="K11" s="19">
        <v>0.007905092592592592</v>
      </c>
      <c r="L11" s="18">
        <f t="shared" si="2"/>
        <v>45532.49929</v>
      </c>
      <c r="M11" s="18">
        <f t="shared" si="3"/>
        <v>45532.50098</v>
      </c>
      <c r="N11" s="13">
        <f t="shared" si="4"/>
        <v>45532.49929</v>
      </c>
      <c r="O11" s="13">
        <f t="shared" si="5"/>
        <v>45532.50098</v>
      </c>
      <c r="P11" s="16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9.5" customHeight="1">
      <c r="A12" s="14" t="s">
        <v>38</v>
      </c>
      <c r="B12" s="6" t="s">
        <v>18</v>
      </c>
      <c r="C12" s="7" t="str">
        <f t="shared" si="6"/>
        <v>TupperwareB</v>
      </c>
      <c r="D12" s="15" t="s">
        <v>39</v>
      </c>
      <c r="E12" s="16">
        <v>3.0</v>
      </c>
      <c r="F12" s="16"/>
      <c r="G12" s="16"/>
      <c r="H12" s="17" t="s">
        <v>33</v>
      </c>
      <c r="I12" s="18">
        <v>45532.47550925926</v>
      </c>
      <c r="J12" s="18">
        <v>45532.47925925926</v>
      </c>
      <c r="K12" s="19">
        <v>0.007905092592592592</v>
      </c>
      <c r="L12" s="18">
        <f t="shared" si="2"/>
        <v>45532.48341</v>
      </c>
      <c r="M12" s="18">
        <f t="shared" si="3"/>
        <v>45532.48716</v>
      </c>
      <c r="N12" s="13">
        <f t="shared" si="4"/>
        <v>45532.48341</v>
      </c>
      <c r="O12" s="13">
        <f t="shared" si="5"/>
        <v>45532.48716</v>
      </c>
      <c r="P12" s="16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9.5" customHeight="1">
      <c r="A13" s="14" t="s">
        <v>40</v>
      </c>
      <c r="B13" s="6" t="s">
        <v>18</v>
      </c>
      <c r="C13" s="7" t="str">
        <f t="shared" si="6"/>
        <v>TupperwareB</v>
      </c>
      <c r="D13" s="15" t="s">
        <v>39</v>
      </c>
      <c r="E13" s="16">
        <v>3.0</v>
      </c>
      <c r="F13" s="16"/>
      <c r="G13" s="16"/>
      <c r="H13" s="17" t="s">
        <v>33</v>
      </c>
      <c r="I13" s="18">
        <v>45532.593090277776</v>
      </c>
      <c r="J13" s="18">
        <v>45532.59447916667</v>
      </c>
      <c r="K13" s="19">
        <v>0.007905092592592592</v>
      </c>
      <c r="L13" s="18">
        <f t="shared" si="2"/>
        <v>45532.601</v>
      </c>
      <c r="M13" s="18">
        <f t="shared" si="3"/>
        <v>45532.60238</v>
      </c>
      <c r="N13" s="13">
        <f t="shared" si="4"/>
        <v>45532.601</v>
      </c>
      <c r="O13" s="13">
        <f t="shared" si="5"/>
        <v>45532.60238</v>
      </c>
      <c r="P13" s="16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9.5" customHeight="1">
      <c r="A14" s="14" t="s">
        <v>41</v>
      </c>
      <c r="B14" s="6" t="s">
        <v>18</v>
      </c>
      <c r="C14" s="7" t="str">
        <f t="shared" si="6"/>
        <v>TupperwareB</v>
      </c>
      <c r="D14" s="15" t="s">
        <v>32</v>
      </c>
      <c r="E14" s="16">
        <v>2.0</v>
      </c>
      <c r="F14" s="16"/>
      <c r="G14" s="16"/>
      <c r="H14" s="17" t="s">
        <v>33</v>
      </c>
      <c r="I14" s="18">
        <v>45532.59527777778</v>
      </c>
      <c r="J14" s="18">
        <v>45532.59674768519</v>
      </c>
      <c r="K14" s="19">
        <v>0.007905092592592592</v>
      </c>
      <c r="L14" s="18">
        <f t="shared" si="2"/>
        <v>45532.60318</v>
      </c>
      <c r="M14" s="18">
        <f t="shared" si="3"/>
        <v>45532.60465</v>
      </c>
      <c r="N14" s="13">
        <f t="shared" si="4"/>
        <v>45532.60318</v>
      </c>
      <c r="O14" s="13">
        <f t="shared" si="5"/>
        <v>45532.60465</v>
      </c>
      <c r="P14" s="16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9.5" customHeight="1">
      <c r="A15" s="14" t="s">
        <v>42</v>
      </c>
      <c r="B15" s="6" t="s">
        <v>18</v>
      </c>
      <c r="C15" s="7" t="str">
        <f t="shared" ref="C15:C17" si="7">CONCATENATE(H15,D15)</f>
        <v>CollarA1.0</v>
      </c>
      <c r="D15" s="15" t="s">
        <v>26</v>
      </c>
      <c r="E15" s="16">
        <v>1.0</v>
      </c>
      <c r="F15" s="16"/>
      <c r="G15" s="16"/>
      <c r="H15" s="17" t="s">
        <v>20</v>
      </c>
      <c r="I15" s="18">
        <v>45532.59782407407</v>
      </c>
      <c r="J15" s="18">
        <v>45532.59940972222</v>
      </c>
      <c r="K15" s="19">
        <v>0.007905092592592592</v>
      </c>
      <c r="L15" s="18">
        <f t="shared" si="2"/>
        <v>45532.60573</v>
      </c>
      <c r="M15" s="18">
        <f t="shared" si="3"/>
        <v>45532.60731</v>
      </c>
      <c r="N15" s="13">
        <f t="shared" si="4"/>
        <v>45532.60573</v>
      </c>
      <c r="O15" s="13">
        <f t="shared" si="5"/>
        <v>45532.60731</v>
      </c>
      <c r="P15" s="16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9.5" customHeight="1">
      <c r="A16" s="14" t="s">
        <v>43</v>
      </c>
      <c r="B16" s="6" t="s">
        <v>18</v>
      </c>
      <c r="C16" s="7" t="str">
        <f t="shared" si="7"/>
        <v>CollarA0.32</v>
      </c>
      <c r="D16" s="15" t="s">
        <v>19</v>
      </c>
      <c r="E16" s="16">
        <v>0.25</v>
      </c>
      <c r="F16" s="16"/>
      <c r="G16" s="16"/>
      <c r="H16" s="17" t="s">
        <v>20</v>
      </c>
      <c r="I16" s="18">
        <v>45532.599756944444</v>
      </c>
      <c r="J16" s="18">
        <v>45532.60104166667</v>
      </c>
      <c r="K16" s="19">
        <v>0.007905092592592592</v>
      </c>
      <c r="L16" s="18">
        <f t="shared" si="2"/>
        <v>45532.60766</v>
      </c>
      <c r="M16" s="18">
        <f t="shared" si="3"/>
        <v>45532.60895</v>
      </c>
      <c r="N16" s="13">
        <f t="shared" si="4"/>
        <v>45532.60766</v>
      </c>
      <c r="O16" s="13">
        <f t="shared" si="5"/>
        <v>45532.60895</v>
      </c>
      <c r="P16" s="16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9.5" customHeight="1">
      <c r="A17" s="14" t="s">
        <v>44</v>
      </c>
      <c r="B17" s="6" t="s">
        <v>18</v>
      </c>
      <c r="C17" s="7" t="str">
        <f t="shared" si="7"/>
        <v>CollarA0.32</v>
      </c>
      <c r="D17" s="15" t="s">
        <v>19</v>
      </c>
      <c r="E17" s="16">
        <v>0.25</v>
      </c>
      <c r="F17" s="16"/>
      <c r="G17" s="16"/>
      <c r="H17" s="17" t="s">
        <v>20</v>
      </c>
      <c r="I17" s="18">
        <v>45532.666342592594</v>
      </c>
      <c r="J17" s="18">
        <v>45532.66800925926</v>
      </c>
      <c r="K17" s="19">
        <v>0.007905092592592592</v>
      </c>
      <c r="L17" s="18">
        <f t="shared" si="2"/>
        <v>45532.67425</v>
      </c>
      <c r="M17" s="18">
        <f t="shared" si="3"/>
        <v>45532.67591</v>
      </c>
      <c r="N17" s="13">
        <f t="shared" si="4"/>
        <v>45532.67425</v>
      </c>
      <c r="O17" s="13">
        <f t="shared" si="5"/>
        <v>45532.67591</v>
      </c>
      <c r="P17" s="16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9.5" customHeight="1">
      <c r="A18" s="14" t="s">
        <v>45</v>
      </c>
      <c r="B18" s="6" t="s">
        <v>18</v>
      </c>
      <c r="C18" s="7" t="str">
        <f>H18</f>
        <v>TupperwareB</v>
      </c>
      <c r="D18" s="15" t="s">
        <v>39</v>
      </c>
      <c r="E18" s="16">
        <v>3.0</v>
      </c>
      <c r="F18" s="16"/>
      <c r="G18" s="16"/>
      <c r="H18" s="17" t="s">
        <v>33</v>
      </c>
      <c r="I18" s="18">
        <v>45532.67005787037</v>
      </c>
      <c r="J18" s="18">
        <v>45532.67109953704</v>
      </c>
      <c r="K18" s="19">
        <v>0.007905092592592592</v>
      </c>
      <c r="L18" s="18">
        <f t="shared" si="2"/>
        <v>45532.67796</v>
      </c>
      <c r="M18" s="18">
        <f t="shared" si="3"/>
        <v>45532.679</v>
      </c>
      <c r="N18" s="13">
        <f t="shared" si="4"/>
        <v>45532.67796</v>
      </c>
      <c r="O18" s="13">
        <f t="shared" si="5"/>
        <v>45532.679</v>
      </c>
      <c r="P18" s="17" t="s">
        <v>46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9.5" customHeight="1">
      <c r="A19" s="14" t="s">
        <v>47</v>
      </c>
      <c r="B19" s="6" t="s">
        <v>18</v>
      </c>
      <c r="C19" s="7" t="str">
        <f>CONCATENATE(H19,D19)</f>
        <v>CollarB0.25</v>
      </c>
      <c r="D19" s="15" t="s">
        <v>22</v>
      </c>
      <c r="E19" s="16">
        <v>0.25</v>
      </c>
      <c r="F19" s="16"/>
      <c r="G19" s="16"/>
      <c r="H19" s="17" t="s">
        <v>20</v>
      </c>
      <c r="I19" s="18">
        <v>45532.67261574074</v>
      </c>
      <c r="J19" s="18">
        <v>45532.67403935185</v>
      </c>
      <c r="K19" s="19">
        <v>0.007905092592592592</v>
      </c>
      <c r="L19" s="18">
        <f t="shared" si="2"/>
        <v>45532.68052</v>
      </c>
      <c r="M19" s="18">
        <f t="shared" si="3"/>
        <v>45532.68194</v>
      </c>
      <c r="N19" s="13">
        <f t="shared" si="4"/>
        <v>45532.68052</v>
      </c>
      <c r="O19" s="13">
        <f t="shared" si="5"/>
        <v>45532.68194</v>
      </c>
      <c r="P19" s="16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9.5" customHeight="1">
      <c r="A20" s="14" t="s">
        <v>48</v>
      </c>
      <c r="B20" s="6" t="s">
        <v>18</v>
      </c>
      <c r="C20" s="7" t="str">
        <f>H20</f>
        <v>TupperwareB</v>
      </c>
      <c r="D20" s="15" t="s">
        <v>32</v>
      </c>
      <c r="E20" s="16">
        <v>2.0</v>
      </c>
      <c r="F20" s="16"/>
      <c r="G20" s="16"/>
      <c r="H20" s="17" t="s">
        <v>33</v>
      </c>
      <c r="I20" s="18">
        <v>45532.68347222222</v>
      </c>
      <c r="J20" s="18">
        <v>45532.68487268518</v>
      </c>
      <c r="K20" s="19">
        <v>0.007905092592592592</v>
      </c>
      <c r="L20" s="18">
        <f t="shared" si="2"/>
        <v>45532.69138</v>
      </c>
      <c r="M20" s="18">
        <f t="shared" si="3"/>
        <v>45532.69278</v>
      </c>
      <c r="N20" s="13">
        <f t="shared" si="4"/>
        <v>45532.69138</v>
      </c>
      <c r="O20" s="13">
        <f t="shared" si="5"/>
        <v>45532.69278</v>
      </c>
      <c r="P20" s="16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9.5" customHeight="1">
      <c r="A21" s="14" t="s">
        <v>49</v>
      </c>
      <c r="B21" s="6" t="s">
        <v>18</v>
      </c>
      <c r="C21" s="7" t="str">
        <f t="shared" ref="C21:C22" si="8">CONCATENATE(H21,D21)</f>
        <v>CollarC0.35</v>
      </c>
      <c r="D21" s="15" t="s">
        <v>24</v>
      </c>
      <c r="E21" s="16">
        <v>0.25</v>
      </c>
      <c r="F21" s="16"/>
      <c r="G21" s="16"/>
      <c r="H21" s="17" t="s">
        <v>20</v>
      </c>
      <c r="I21" s="18">
        <v>45532.679247685184</v>
      </c>
      <c r="J21" s="18">
        <v>45532.680659722224</v>
      </c>
      <c r="K21" s="19">
        <v>0.007905092592592592</v>
      </c>
      <c r="L21" s="18">
        <f t="shared" si="2"/>
        <v>45532.68715</v>
      </c>
      <c r="M21" s="18">
        <f t="shared" si="3"/>
        <v>45532.68856</v>
      </c>
      <c r="N21" s="13">
        <f t="shared" si="4"/>
        <v>45532.68715</v>
      </c>
      <c r="O21" s="13">
        <f t="shared" si="5"/>
        <v>45532.68856</v>
      </c>
      <c r="P21" s="16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9.5" customHeight="1">
      <c r="A22" s="14" t="s">
        <v>50</v>
      </c>
      <c r="B22" s="6" t="s">
        <v>18</v>
      </c>
      <c r="C22" s="7" t="str">
        <f t="shared" si="8"/>
        <v>CollarA1.0</v>
      </c>
      <c r="D22" s="15" t="s">
        <v>26</v>
      </c>
      <c r="E22" s="16">
        <v>1.0</v>
      </c>
      <c r="F22" s="16"/>
      <c r="G22" s="16"/>
      <c r="H22" s="17" t="s">
        <v>20</v>
      </c>
      <c r="I22" s="18">
        <v>45532.686273148145</v>
      </c>
      <c r="J22" s="18">
        <v>45532.687685185185</v>
      </c>
      <c r="K22" s="19">
        <v>0.007905092592592592</v>
      </c>
      <c r="L22" s="18">
        <f t="shared" si="2"/>
        <v>45532.69418</v>
      </c>
      <c r="M22" s="18">
        <f t="shared" si="3"/>
        <v>45532.69559</v>
      </c>
      <c r="N22" s="13">
        <f t="shared" si="4"/>
        <v>45532.69418</v>
      </c>
      <c r="O22" s="13">
        <f t="shared" si="5"/>
        <v>45532.69559</v>
      </c>
      <c r="P22" s="16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9.5" customHeight="1">
      <c r="A23" s="14" t="s">
        <v>51</v>
      </c>
      <c r="B23" s="6" t="s">
        <v>18</v>
      </c>
      <c r="C23" s="7" t="str">
        <f>H23</f>
        <v>TupperwareB</v>
      </c>
      <c r="D23" s="15" t="s">
        <v>39</v>
      </c>
      <c r="E23" s="16">
        <v>3.0</v>
      </c>
      <c r="F23" s="16"/>
      <c r="G23" s="16"/>
      <c r="H23" s="17" t="s">
        <v>33</v>
      </c>
      <c r="I23" s="18">
        <v>45532.69032407407</v>
      </c>
      <c r="J23" s="18">
        <v>45532.69173611111</v>
      </c>
      <c r="K23" s="19">
        <v>0.007905092592592592</v>
      </c>
      <c r="L23" s="18">
        <f t="shared" si="2"/>
        <v>45532.69823</v>
      </c>
      <c r="M23" s="18">
        <f t="shared" si="3"/>
        <v>45532.69964</v>
      </c>
      <c r="N23" s="13">
        <f t="shared" si="4"/>
        <v>45532.69823</v>
      </c>
      <c r="O23" s="13">
        <f t="shared" si="5"/>
        <v>45532.69964</v>
      </c>
      <c r="P23" s="16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9.5" customHeight="1">
      <c r="A24" s="14" t="s">
        <v>52</v>
      </c>
      <c r="B24" s="6" t="s">
        <v>18</v>
      </c>
      <c r="C24" s="7" t="str">
        <f>CONCATENATE(H24,D24)</f>
        <v>CollarB0.9</v>
      </c>
      <c r="D24" s="15" t="s">
        <v>28</v>
      </c>
      <c r="E24" s="16">
        <v>1.0</v>
      </c>
      <c r="F24" s="16"/>
      <c r="G24" s="16"/>
      <c r="H24" s="17" t="s">
        <v>20</v>
      </c>
      <c r="I24" s="18">
        <v>45532.69230324074</v>
      </c>
      <c r="J24" s="18">
        <v>45532.693703703706</v>
      </c>
      <c r="K24" s="19">
        <v>0.007905092592592592</v>
      </c>
      <c r="L24" s="18">
        <f t="shared" si="2"/>
        <v>45532.70021</v>
      </c>
      <c r="M24" s="18">
        <f t="shared" si="3"/>
        <v>45532.70161</v>
      </c>
      <c r="N24" s="13">
        <f t="shared" si="4"/>
        <v>45532.70021</v>
      </c>
      <c r="O24" s="13">
        <f t="shared" si="5"/>
        <v>45532.70161</v>
      </c>
      <c r="P24" s="16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9.5" customHeight="1">
      <c r="A25" s="14" t="s">
        <v>53</v>
      </c>
      <c r="B25" s="6" t="s">
        <v>18</v>
      </c>
      <c r="C25" s="7" t="str">
        <f>H25</f>
        <v>TupperwareB</v>
      </c>
      <c r="D25" s="15" t="s">
        <v>35</v>
      </c>
      <c r="E25" s="16">
        <v>2.0</v>
      </c>
      <c r="F25" s="16"/>
      <c r="G25" s="16"/>
      <c r="H25" s="17" t="s">
        <v>33</v>
      </c>
      <c r="I25" s="18">
        <v>45532.69583333333</v>
      </c>
      <c r="J25" s="18">
        <v>45532.697233796294</v>
      </c>
      <c r="K25" s="19">
        <v>0.007905092592592592</v>
      </c>
      <c r="L25" s="18">
        <f t="shared" si="2"/>
        <v>45532.70374</v>
      </c>
      <c r="M25" s="18">
        <f t="shared" si="3"/>
        <v>45532.70514</v>
      </c>
      <c r="N25" s="13">
        <f t="shared" si="4"/>
        <v>45532.70374</v>
      </c>
      <c r="O25" s="13">
        <f t="shared" si="5"/>
        <v>45532.70514</v>
      </c>
      <c r="P25" s="16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9.5" customHeight="1">
      <c r="A26" s="14" t="s">
        <v>54</v>
      </c>
      <c r="B26" s="6" t="s">
        <v>18</v>
      </c>
      <c r="C26" s="7" t="str">
        <f>CONCATENATE(H26,D26)</f>
        <v>CollarC1.0</v>
      </c>
      <c r="D26" s="15" t="s">
        <v>30</v>
      </c>
      <c r="E26" s="16">
        <v>1.0</v>
      </c>
      <c r="F26" s="16"/>
      <c r="G26" s="16"/>
      <c r="H26" s="17" t="s">
        <v>20</v>
      </c>
      <c r="I26" s="18">
        <v>45532.698275462964</v>
      </c>
      <c r="J26" s="18">
        <v>45532.69967592593</v>
      </c>
      <c r="K26" s="19">
        <v>0.007905092592592592</v>
      </c>
      <c r="L26" s="18">
        <f t="shared" si="2"/>
        <v>45532.70618</v>
      </c>
      <c r="M26" s="18">
        <f t="shared" si="3"/>
        <v>45532.70758</v>
      </c>
      <c r="N26" s="13">
        <f t="shared" si="4"/>
        <v>45532.70618</v>
      </c>
      <c r="O26" s="13">
        <f t="shared" si="5"/>
        <v>45532.70758</v>
      </c>
      <c r="P26" s="16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9.5" customHeight="1">
      <c r="A27" s="14" t="s">
        <v>55</v>
      </c>
      <c r="B27" s="6" t="s">
        <v>18</v>
      </c>
      <c r="C27" s="7" t="str">
        <f t="shared" ref="C27:C28" si="9">H27</f>
        <v>TupperwareB</v>
      </c>
      <c r="D27" s="15" t="s">
        <v>39</v>
      </c>
      <c r="E27" s="16">
        <v>3.0</v>
      </c>
      <c r="F27" s="16"/>
      <c r="G27" s="16"/>
      <c r="H27" s="17" t="s">
        <v>33</v>
      </c>
      <c r="I27" s="18">
        <v>45532.75761574074</v>
      </c>
      <c r="J27" s="18">
        <v>45532.75971064815</v>
      </c>
      <c r="K27" s="19">
        <v>0.007905092592592592</v>
      </c>
      <c r="L27" s="18">
        <f t="shared" si="2"/>
        <v>45532.76552</v>
      </c>
      <c r="M27" s="18">
        <f t="shared" si="3"/>
        <v>45532.76762</v>
      </c>
      <c r="N27" s="13">
        <f t="shared" si="4"/>
        <v>45532.76552</v>
      </c>
      <c r="O27" s="13">
        <f t="shared" si="5"/>
        <v>45532.76762</v>
      </c>
      <c r="P27" s="16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9.5" customHeight="1">
      <c r="A28" s="14" t="s">
        <v>56</v>
      </c>
      <c r="B28" s="6" t="s">
        <v>18</v>
      </c>
      <c r="C28" s="7" t="str">
        <f t="shared" si="9"/>
        <v>TupperwareB</v>
      </c>
      <c r="D28" s="15" t="s">
        <v>32</v>
      </c>
      <c r="E28" s="16">
        <v>2.0</v>
      </c>
      <c r="F28" s="16"/>
      <c r="G28" s="16"/>
      <c r="H28" s="17" t="s">
        <v>33</v>
      </c>
      <c r="I28" s="18">
        <v>45532.760405092595</v>
      </c>
      <c r="J28" s="18">
        <v>45532.762511574074</v>
      </c>
      <c r="K28" s="19">
        <v>0.007905092592592592</v>
      </c>
      <c r="L28" s="18">
        <f t="shared" si="2"/>
        <v>45532.76831</v>
      </c>
      <c r="M28" s="18">
        <f t="shared" si="3"/>
        <v>45532.77042</v>
      </c>
      <c r="N28" s="13">
        <f t="shared" si="4"/>
        <v>45532.76831</v>
      </c>
      <c r="O28" s="13">
        <f t="shared" si="5"/>
        <v>45532.77042</v>
      </c>
      <c r="P28" s="16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9.5" customHeight="1">
      <c r="A29" s="14" t="s">
        <v>57</v>
      </c>
      <c r="B29" s="6" t="s">
        <v>18</v>
      </c>
      <c r="C29" s="7" t="str">
        <f t="shared" ref="C29:C30" si="10">CONCATENATE(H29,D29)</f>
        <v>CollarA1.0</v>
      </c>
      <c r="D29" s="15" t="s">
        <v>26</v>
      </c>
      <c r="E29" s="16">
        <v>1.0</v>
      </c>
      <c r="F29" s="16"/>
      <c r="G29" s="16"/>
      <c r="H29" s="17" t="s">
        <v>20</v>
      </c>
      <c r="I29" s="18">
        <v>45532.764560185184</v>
      </c>
      <c r="J29" s="18">
        <v>45532.766747685186</v>
      </c>
      <c r="K29" s="19">
        <v>0.007905092592592592</v>
      </c>
      <c r="L29" s="18">
        <f t="shared" si="2"/>
        <v>45532.77247</v>
      </c>
      <c r="M29" s="18">
        <f t="shared" si="3"/>
        <v>45532.77465</v>
      </c>
      <c r="N29" s="13">
        <f t="shared" si="4"/>
        <v>45532.77247</v>
      </c>
      <c r="O29" s="13">
        <f t="shared" si="5"/>
        <v>45532.77465</v>
      </c>
      <c r="P29" s="16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9.5" customHeight="1">
      <c r="A30" s="14" t="s">
        <v>58</v>
      </c>
      <c r="B30" s="6" t="s">
        <v>18</v>
      </c>
      <c r="C30" s="7" t="str">
        <f t="shared" si="10"/>
        <v>CollarA0.32</v>
      </c>
      <c r="D30" s="15" t="s">
        <v>19</v>
      </c>
      <c r="E30" s="16">
        <v>0.25</v>
      </c>
      <c r="F30" s="16"/>
      <c r="G30" s="16"/>
      <c r="H30" s="17" t="s">
        <v>20</v>
      </c>
      <c r="I30" s="18">
        <v>45532.7678125</v>
      </c>
      <c r="J30" s="18">
        <v>45532.77001157407</v>
      </c>
      <c r="K30" s="19">
        <v>0.007905092592592592</v>
      </c>
      <c r="L30" s="18">
        <f t="shared" si="2"/>
        <v>45532.77572</v>
      </c>
      <c r="M30" s="18">
        <f t="shared" si="3"/>
        <v>45532.77792</v>
      </c>
      <c r="N30" s="13">
        <f t="shared" si="4"/>
        <v>45532.77572</v>
      </c>
      <c r="O30" s="13">
        <f t="shared" si="5"/>
        <v>45532.77792</v>
      </c>
      <c r="P30" s="16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9.5" customHeight="1">
      <c r="A31" s="14" t="s">
        <v>59</v>
      </c>
      <c r="B31" s="6" t="s">
        <v>18</v>
      </c>
      <c r="C31" s="7" t="str">
        <f t="shared" ref="C31:C34" si="11">H31</f>
        <v>TupperwareB</v>
      </c>
      <c r="D31" s="15" t="s">
        <v>39</v>
      </c>
      <c r="E31" s="16">
        <v>3.0</v>
      </c>
      <c r="F31" s="16"/>
      <c r="G31" s="16"/>
      <c r="H31" s="17" t="s">
        <v>33</v>
      </c>
      <c r="I31" s="18">
        <v>45532.79046296296</v>
      </c>
      <c r="J31" s="18">
        <v>45532.79240740741</v>
      </c>
      <c r="K31" s="19">
        <v>0.007905092592592592</v>
      </c>
      <c r="L31" s="18">
        <f t="shared" si="2"/>
        <v>45532.79837</v>
      </c>
      <c r="M31" s="18">
        <f t="shared" si="3"/>
        <v>45532.80031</v>
      </c>
      <c r="N31" s="13">
        <f t="shared" si="4"/>
        <v>45532.79837</v>
      </c>
      <c r="O31" s="13">
        <f t="shared" si="5"/>
        <v>45532.80031</v>
      </c>
      <c r="P31" s="16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9.5" customHeight="1">
      <c r="A32" s="14" t="s">
        <v>60</v>
      </c>
      <c r="B32" s="6" t="s">
        <v>18</v>
      </c>
      <c r="C32" s="7" t="str">
        <f t="shared" si="11"/>
        <v>TupperwareB</v>
      </c>
      <c r="D32" s="15" t="s">
        <v>32</v>
      </c>
      <c r="E32" s="16">
        <v>2.0</v>
      </c>
      <c r="F32" s="16"/>
      <c r="G32" s="16"/>
      <c r="H32" s="17" t="s">
        <v>33</v>
      </c>
      <c r="I32" s="18">
        <v>45532.794594907406</v>
      </c>
      <c r="J32" s="18">
        <v>45532.79630787037</v>
      </c>
      <c r="K32" s="19">
        <v>0.007905092592592592</v>
      </c>
      <c r="L32" s="18">
        <f t="shared" si="2"/>
        <v>45532.8025</v>
      </c>
      <c r="M32" s="18">
        <f t="shared" si="3"/>
        <v>45532.80421</v>
      </c>
      <c r="N32" s="13">
        <f t="shared" si="4"/>
        <v>45532.8025</v>
      </c>
      <c r="O32" s="13">
        <f t="shared" si="5"/>
        <v>45532.80421</v>
      </c>
      <c r="P32" s="16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9.5" customHeight="1">
      <c r="A33" s="14" t="s">
        <v>61</v>
      </c>
      <c r="B33" s="6" t="s">
        <v>18</v>
      </c>
      <c r="C33" s="7" t="str">
        <f t="shared" si="11"/>
        <v>TupperwareB</v>
      </c>
      <c r="D33" s="15" t="s">
        <v>35</v>
      </c>
      <c r="E33" s="16">
        <v>2.0</v>
      </c>
      <c r="F33" s="16"/>
      <c r="G33" s="16"/>
      <c r="H33" s="17" t="s">
        <v>33</v>
      </c>
      <c r="I33" s="18">
        <v>45532.79791666667</v>
      </c>
      <c r="J33" s="18">
        <v>45532.79939814815</v>
      </c>
      <c r="K33" s="19">
        <v>0.007905092592592592</v>
      </c>
      <c r="L33" s="18">
        <f t="shared" si="2"/>
        <v>45532.80582</v>
      </c>
      <c r="M33" s="18">
        <f t="shared" si="3"/>
        <v>45532.8073</v>
      </c>
      <c r="N33" s="13">
        <f t="shared" si="4"/>
        <v>45532.80582</v>
      </c>
      <c r="O33" s="13">
        <f t="shared" si="5"/>
        <v>45532.8073</v>
      </c>
      <c r="P33" s="16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9.5" customHeight="1">
      <c r="A34" s="14" t="s">
        <v>62</v>
      </c>
      <c r="B34" s="6" t="s">
        <v>18</v>
      </c>
      <c r="C34" s="7" t="str">
        <f t="shared" si="11"/>
        <v>TupperwareB</v>
      </c>
      <c r="D34" s="15" t="s">
        <v>37</v>
      </c>
      <c r="E34" s="16">
        <v>2.0</v>
      </c>
      <c r="F34" s="16"/>
      <c r="G34" s="16"/>
      <c r="H34" s="17" t="s">
        <v>33</v>
      </c>
      <c r="I34" s="18">
        <v>45532.80043981481</v>
      </c>
      <c r="J34" s="18">
        <v>45532.80226851852</v>
      </c>
      <c r="K34" s="19">
        <v>0.007905092592592592</v>
      </c>
      <c r="L34" s="18">
        <f t="shared" si="2"/>
        <v>45532.80834</v>
      </c>
      <c r="M34" s="18">
        <f t="shared" si="3"/>
        <v>45532.81017</v>
      </c>
      <c r="N34" s="13">
        <f t="shared" si="4"/>
        <v>45532.80834</v>
      </c>
      <c r="O34" s="13">
        <f t="shared" si="5"/>
        <v>45532.81017</v>
      </c>
      <c r="P34" s="16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9.5" customHeight="1">
      <c r="A35" s="14" t="s">
        <v>63</v>
      </c>
      <c r="B35" s="6" t="s">
        <v>18</v>
      </c>
      <c r="C35" s="7" t="str">
        <f t="shared" ref="C35:C41" si="12">CONCATENATE(H35,D35)</f>
        <v>CollarA1.0</v>
      </c>
      <c r="D35" s="15" t="s">
        <v>26</v>
      </c>
      <c r="E35" s="16">
        <v>1.0</v>
      </c>
      <c r="F35" s="16"/>
      <c r="G35" s="16"/>
      <c r="H35" s="17" t="s">
        <v>20</v>
      </c>
      <c r="I35" s="18">
        <v>45532.80275462963</v>
      </c>
      <c r="J35" s="18">
        <v>45532.804456018515</v>
      </c>
      <c r="K35" s="19">
        <v>0.007905092592592592</v>
      </c>
      <c r="L35" s="18">
        <f t="shared" si="2"/>
        <v>45532.81066</v>
      </c>
      <c r="M35" s="18">
        <f t="shared" si="3"/>
        <v>45532.81236</v>
      </c>
      <c r="N35" s="13">
        <f t="shared" si="4"/>
        <v>45532.81066</v>
      </c>
      <c r="O35" s="13">
        <f t="shared" si="5"/>
        <v>45532.81236</v>
      </c>
      <c r="P35" s="16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9.5" customHeight="1">
      <c r="A36" s="14" t="s">
        <v>64</v>
      </c>
      <c r="B36" s="6" t="s">
        <v>18</v>
      </c>
      <c r="C36" s="7" t="str">
        <f t="shared" si="12"/>
        <v>CollarB0.9</v>
      </c>
      <c r="D36" s="15" t="s">
        <v>28</v>
      </c>
      <c r="E36" s="16">
        <v>1.0</v>
      </c>
      <c r="F36" s="16"/>
      <c r="G36" s="16"/>
      <c r="H36" s="17" t="s">
        <v>20</v>
      </c>
      <c r="I36" s="18">
        <v>45532.80502314815</v>
      </c>
      <c r="J36" s="18">
        <v>45532.806805555556</v>
      </c>
      <c r="K36" s="19">
        <v>0.007905092592592592</v>
      </c>
      <c r="L36" s="18">
        <f t="shared" si="2"/>
        <v>45532.81293</v>
      </c>
      <c r="M36" s="18">
        <f t="shared" si="3"/>
        <v>45532.81471</v>
      </c>
      <c r="N36" s="13">
        <f t="shared" si="4"/>
        <v>45532.81293</v>
      </c>
      <c r="O36" s="13">
        <f t="shared" si="5"/>
        <v>45532.81471</v>
      </c>
      <c r="P36" s="16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9.5" customHeight="1">
      <c r="A37" s="14" t="s">
        <v>65</v>
      </c>
      <c r="B37" s="6" t="s">
        <v>18</v>
      </c>
      <c r="C37" s="7" t="str">
        <f t="shared" si="12"/>
        <v>CollarC1.0</v>
      </c>
      <c r="D37" s="15" t="s">
        <v>30</v>
      </c>
      <c r="E37" s="16">
        <v>1.0</v>
      </c>
      <c r="F37" s="16"/>
      <c r="G37" s="16"/>
      <c r="H37" s="17" t="s">
        <v>20</v>
      </c>
      <c r="I37" s="18">
        <v>45532.80715277778</v>
      </c>
      <c r="J37" s="18">
        <v>45532.808854166666</v>
      </c>
      <c r="K37" s="19">
        <v>0.007905092592592592</v>
      </c>
      <c r="L37" s="18">
        <f t="shared" si="2"/>
        <v>45532.81506</v>
      </c>
      <c r="M37" s="18">
        <f t="shared" si="3"/>
        <v>45532.81676</v>
      </c>
      <c r="N37" s="13">
        <f t="shared" si="4"/>
        <v>45532.81506</v>
      </c>
      <c r="O37" s="13">
        <f t="shared" si="5"/>
        <v>45532.81676</v>
      </c>
      <c r="P37" s="16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9.5" customHeight="1">
      <c r="A38" s="14" t="s">
        <v>66</v>
      </c>
      <c r="B38" s="6" t="s">
        <v>18</v>
      </c>
      <c r="C38" s="7" t="str">
        <f t="shared" si="12"/>
        <v>CollarA0.32</v>
      </c>
      <c r="D38" s="15" t="s">
        <v>19</v>
      </c>
      <c r="E38" s="16">
        <v>0.25</v>
      </c>
      <c r="F38" s="16"/>
      <c r="G38" s="16"/>
      <c r="H38" s="17" t="s">
        <v>20</v>
      </c>
      <c r="I38" s="18">
        <v>45532.809479166666</v>
      </c>
      <c r="J38" s="18">
        <v>45532.81081018518</v>
      </c>
      <c r="K38" s="19">
        <v>0.007905092592592592</v>
      </c>
      <c r="L38" s="18">
        <f t="shared" si="2"/>
        <v>45532.81738</v>
      </c>
      <c r="M38" s="18">
        <f t="shared" si="3"/>
        <v>45532.81872</v>
      </c>
      <c r="N38" s="13">
        <f t="shared" si="4"/>
        <v>45532.81738</v>
      </c>
      <c r="O38" s="13">
        <f t="shared" si="5"/>
        <v>45532.81872</v>
      </c>
      <c r="P38" s="16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9.5" customHeight="1">
      <c r="A39" s="14" t="s">
        <v>67</v>
      </c>
      <c r="B39" s="6" t="s">
        <v>18</v>
      </c>
      <c r="C39" s="7" t="str">
        <f t="shared" si="12"/>
        <v>CollarB0.25</v>
      </c>
      <c r="D39" s="15" t="s">
        <v>22</v>
      </c>
      <c r="E39" s="16">
        <v>0.25</v>
      </c>
      <c r="F39" s="16"/>
      <c r="G39" s="16"/>
      <c r="H39" s="17" t="s">
        <v>20</v>
      </c>
      <c r="I39" s="18">
        <v>45532.8112962963</v>
      </c>
      <c r="J39" s="18">
        <v>45532.812731481485</v>
      </c>
      <c r="K39" s="19">
        <v>0.007905092592592592</v>
      </c>
      <c r="L39" s="18">
        <f t="shared" si="2"/>
        <v>45532.8192</v>
      </c>
      <c r="M39" s="18">
        <f t="shared" si="3"/>
        <v>45532.82064</v>
      </c>
      <c r="N39" s="13">
        <f t="shared" si="4"/>
        <v>45532.8192</v>
      </c>
      <c r="O39" s="13">
        <f t="shared" si="5"/>
        <v>45532.82064</v>
      </c>
      <c r="P39" s="16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9.5" customHeight="1">
      <c r="A40" s="14" t="s">
        <v>68</v>
      </c>
      <c r="B40" s="6" t="s">
        <v>18</v>
      </c>
      <c r="C40" s="7" t="str">
        <f t="shared" si="12"/>
        <v>CollarC0.35</v>
      </c>
      <c r="D40" s="15" t="s">
        <v>24</v>
      </c>
      <c r="E40" s="16">
        <v>0.25</v>
      </c>
      <c r="F40" s="16"/>
      <c r="G40" s="16"/>
      <c r="H40" s="17" t="s">
        <v>20</v>
      </c>
      <c r="I40" s="18">
        <v>45532.813101851854</v>
      </c>
      <c r="J40" s="18">
        <v>45532.81532407407</v>
      </c>
      <c r="K40" s="19">
        <v>0.007905092592592592</v>
      </c>
      <c r="L40" s="18">
        <f t="shared" si="2"/>
        <v>45532.82101</v>
      </c>
      <c r="M40" s="18">
        <f t="shared" si="3"/>
        <v>45532.82323</v>
      </c>
      <c r="N40" s="13">
        <f t="shared" si="4"/>
        <v>45532.82101</v>
      </c>
      <c r="O40" s="13">
        <f t="shared" si="5"/>
        <v>45532.82323</v>
      </c>
      <c r="P40" s="16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9.5" customHeight="1">
      <c r="A41" s="14" t="s">
        <v>69</v>
      </c>
      <c r="B41" s="6" t="s">
        <v>18</v>
      </c>
      <c r="C41" s="7" t="str">
        <f t="shared" si="12"/>
        <v>CollarA0.32</v>
      </c>
      <c r="D41" s="15" t="s">
        <v>19</v>
      </c>
      <c r="E41" s="16">
        <v>0.25</v>
      </c>
      <c r="F41" s="16"/>
      <c r="G41" s="16"/>
      <c r="H41" s="17" t="s">
        <v>20</v>
      </c>
      <c r="I41" s="18">
        <v>45532.835694444446</v>
      </c>
      <c r="J41" s="18">
        <v>45532.83692129629</v>
      </c>
      <c r="K41" s="19">
        <v>0.007905092592592592</v>
      </c>
      <c r="L41" s="18">
        <f t="shared" si="2"/>
        <v>45532.8436</v>
      </c>
      <c r="M41" s="18">
        <f t="shared" si="3"/>
        <v>45532.84483</v>
      </c>
      <c r="N41" s="13">
        <f t="shared" si="4"/>
        <v>45532.8436</v>
      </c>
      <c r="O41" s="13">
        <f t="shared" si="5"/>
        <v>45532.84483</v>
      </c>
      <c r="P41" s="16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9.5" customHeight="1">
      <c r="A42" s="14" t="s">
        <v>70</v>
      </c>
      <c r="B42" s="6" t="s">
        <v>18</v>
      </c>
      <c r="C42" s="7" t="str">
        <f t="shared" ref="C42:C43" si="13">H42</f>
        <v>TupperwareB</v>
      </c>
      <c r="D42" s="15" t="s">
        <v>39</v>
      </c>
      <c r="E42" s="16">
        <v>3.0</v>
      </c>
      <c r="F42" s="16"/>
      <c r="G42" s="16"/>
      <c r="H42" s="17" t="s">
        <v>33</v>
      </c>
      <c r="I42" s="18">
        <v>45532.83793981482</v>
      </c>
      <c r="J42" s="18">
        <v>45532.8400462963</v>
      </c>
      <c r="K42" s="19">
        <v>0.007905092592592592</v>
      </c>
      <c r="L42" s="18">
        <f t="shared" si="2"/>
        <v>45532.84584</v>
      </c>
      <c r="M42" s="18">
        <f t="shared" si="3"/>
        <v>45532.84795</v>
      </c>
      <c r="N42" s="13">
        <f t="shared" si="4"/>
        <v>45532.84584</v>
      </c>
      <c r="O42" s="13">
        <f t="shared" si="5"/>
        <v>45532.84795</v>
      </c>
      <c r="P42" s="16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9.5" customHeight="1">
      <c r="A43" s="14" t="s">
        <v>71</v>
      </c>
      <c r="B43" s="6" t="s">
        <v>18</v>
      </c>
      <c r="C43" s="7" t="str">
        <f t="shared" si="13"/>
        <v>TupperwareB</v>
      </c>
      <c r="D43" s="15" t="s">
        <v>32</v>
      </c>
      <c r="E43" s="16">
        <v>2.0</v>
      </c>
      <c r="F43" s="16"/>
      <c r="G43" s="16"/>
      <c r="H43" s="17" t="s">
        <v>33</v>
      </c>
      <c r="I43" s="18">
        <v>45532.84505787037</v>
      </c>
      <c r="J43" s="18">
        <v>45532.8474537037</v>
      </c>
      <c r="K43" s="19">
        <v>0.007905092592592592</v>
      </c>
      <c r="L43" s="18">
        <f t="shared" si="2"/>
        <v>45532.85296</v>
      </c>
      <c r="M43" s="18">
        <f t="shared" si="3"/>
        <v>45532.85536</v>
      </c>
      <c r="N43" s="13">
        <f t="shared" si="4"/>
        <v>45532.85296</v>
      </c>
      <c r="O43" s="13">
        <f t="shared" si="5"/>
        <v>45532.85536</v>
      </c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9.5" customHeight="1">
      <c r="A44" s="14" t="s">
        <v>72</v>
      </c>
      <c r="B44" s="6" t="s">
        <v>18</v>
      </c>
      <c r="C44" s="7" t="str">
        <f>CONCATENATE(H44,D44)</f>
        <v>CollarA1.0</v>
      </c>
      <c r="D44" s="15" t="s">
        <v>26</v>
      </c>
      <c r="E44" s="16">
        <v>1.0</v>
      </c>
      <c r="F44" s="16"/>
      <c r="G44" s="16"/>
      <c r="H44" s="17" t="s">
        <v>20</v>
      </c>
      <c r="I44" s="18">
        <v>45532.84116898148</v>
      </c>
      <c r="J44" s="18">
        <v>45532.84326388889</v>
      </c>
      <c r="K44" s="19">
        <v>0.007905092592592592</v>
      </c>
      <c r="L44" s="18">
        <f t="shared" si="2"/>
        <v>45532.84907</v>
      </c>
      <c r="M44" s="18">
        <f t="shared" si="3"/>
        <v>45532.85117</v>
      </c>
      <c r="N44" s="13">
        <f t="shared" si="4"/>
        <v>45532.84907</v>
      </c>
      <c r="O44" s="13">
        <f t="shared" si="5"/>
        <v>45532.85117</v>
      </c>
      <c r="P44" s="16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9.5" customHeight="1">
      <c r="A45" s="14" t="s">
        <v>73</v>
      </c>
      <c r="B45" s="6" t="s">
        <v>18</v>
      </c>
      <c r="C45" s="7" t="str">
        <f>H45</f>
        <v>TupperwareB</v>
      </c>
      <c r="D45" s="15" t="s">
        <v>39</v>
      </c>
      <c r="E45" s="16">
        <v>3.0</v>
      </c>
      <c r="F45" s="16"/>
      <c r="G45" s="16"/>
      <c r="H45" s="17" t="s">
        <v>33</v>
      </c>
      <c r="I45" s="18">
        <v>45532.92988425926</v>
      </c>
      <c r="J45" s="18">
        <v>45532.931296296294</v>
      </c>
      <c r="K45" s="19">
        <v>0.007905092592592592</v>
      </c>
      <c r="L45" s="18">
        <f t="shared" si="2"/>
        <v>45532.93779</v>
      </c>
      <c r="M45" s="18">
        <f t="shared" si="3"/>
        <v>45532.9392</v>
      </c>
      <c r="N45" s="13">
        <f t="shared" si="4"/>
        <v>45532.93779</v>
      </c>
      <c r="O45" s="13">
        <f t="shared" si="5"/>
        <v>45532.9392</v>
      </c>
      <c r="P45" s="16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9.5" customHeight="1">
      <c r="A46" s="14" t="s">
        <v>74</v>
      </c>
      <c r="B46" s="6" t="s">
        <v>18</v>
      </c>
      <c r="C46" s="7" t="str">
        <f>CONCATENATE(H46,D46)</f>
        <v>CollarA0.32</v>
      </c>
      <c r="D46" s="15" t="s">
        <v>19</v>
      </c>
      <c r="E46" s="16">
        <v>0.25</v>
      </c>
      <c r="F46" s="16"/>
      <c r="G46" s="16"/>
      <c r="H46" s="17" t="s">
        <v>20</v>
      </c>
      <c r="I46" s="18">
        <v>45532.93212962963</v>
      </c>
      <c r="J46" s="18">
        <v>45532.9335300926</v>
      </c>
      <c r="K46" s="19">
        <v>0.007905092592592592</v>
      </c>
      <c r="L46" s="18">
        <f t="shared" si="2"/>
        <v>45532.94003</v>
      </c>
      <c r="M46" s="18">
        <f t="shared" si="3"/>
        <v>45532.94144</v>
      </c>
      <c r="N46" s="13">
        <f t="shared" si="4"/>
        <v>45532.94003</v>
      </c>
      <c r="O46" s="13">
        <f t="shared" si="5"/>
        <v>45532.94144</v>
      </c>
      <c r="P46" s="16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9.5" customHeight="1">
      <c r="A47" s="14" t="s">
        <v>75</v>
      </c>
      <c r="B47" s="6" t="s">
        <v>18</v>
      </c>
      <c r="C47" s="7" t="str">
        <f>H47</f>
        <v>TupperwareB</v>
      </c>
      <c r="D47" s="15" t="s">
        <v>32</v>
      </c>
      <c r="E47" s="16">
        <v>2.0</v>
      </c>
      <c r="F47" s="16"/>
      <c r="G47" s="16"/>
      <c r="H47" s="17" t="s">
        <v>33</v>
      </c>
      <c r="I47" s="18">
        <v>45532.93423611111</v>
      </c>
      <c r="J47" s="18">
        <v>45532.935636574075</v>
      </c>
      <c r="K47" s="19">
        <v>0.007905092592592592</v>
      </c>
      <c r="L47" s="18">
        <f t="shared" si="2"/>
        <v>45532.94214</v>
      </c>
      <c r="M47" s="18">
        <f t="shared" si="3"/>
        <v>45532.94354</v>
      </c>
      <c r="N47" s="13">
        <f t="shared" si="4"/>
        <v>45532.94214</v>
      </c>
      <c r="O47" s="13">
        <f t="shared" si="5"/>
        <v>45532.94354</v>
      </c>
      <c r="P47" s="16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9.5" customHeight="1">
      <c r="A48" s="14" t="s">
        <v>76</v>
      </c>
      <c r="B48" s="6" t="s">
        <v>18</v>
      </c>
      <c r="C48" s="7" t="str">
        <f t="shared" ref="C48:C50" si="14">CONCATENATE(H48,D48)</f>
        <v>CollarB0.25</v>
      </c>
      <c r="D48" s="15" t="s">
        <v>22</v>
      </c>
      <c r="E48" s="16">
        <v>0.25</v>
      </c>
      <c r="F48" s="16"/>
      <c r="G48" s="16"/>
      <c r="H48" s="17" t="s">
        <v>20</v>
      </c>
      <c r="I48" s="18">
        <v>45532.93605324074</v>
      </c>
      <c r="J48" s="18">
        <v>45532.93746527778</v>
      </c>
      <c r="K48" s="19">
        <v>0.007905092592592592</v>
      </c>
      <c r="L48" s="18">
        <f t="shared" si="2"/>
        <v>45532.94396</v>
      </c>
      <c r="M48" s="18">
        <f t="shared" si="3"/>
        <v>45532.94537</v>
      </c>
      <c r="N48" s="13">
        <f t="shared" si="4"/>
        <v>45532.94396</v>
      </c>
      <c r="O48" s="13">
        <f t="shared" si="5"/>
        <v>45532.94537</v>
      </c>
      <c r="P48" s="16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9.5" customHeight="1">
      <c r="A49" s="14" t="s">
        <v>77</v>
      </c>
      <c r="B49" s="6" t="s">
        <v>18</v>
      </c>
      <c r="C49" s="7" t="str">
        <f t="shared" si="14"/>
        <v>CollarC0.35</v>
      </c>
      <c r="D49" s="15" t="s">
        <v>24</v>
      </c>
      <c r="E49" s="16">
        <v>0.25</v>
      </c>
      <c r="F49" s="16"/>
      <c r="G49" s="16"/>
      <c r="H49" s="17" t="s">
        <v>20</v>
      </c>
      <c r="I49" s="18">
        <v>45532.93783564815</v>
      </c>
      <c r="J49" s="18">
        <v>45532.93923611111</v>
      </c>
      <c r="K49" s="19">
        <v>0.007905092592592592</v>
      </c>
      <c r="L49" s="18">
        <f t="shared" si="2"/>
        <v>45532.94574</v>
      </c>
      <c r="M49" s="18">
        <f t="shared" si="3"/>
        <v>45532.94714</v>
      </c>
      <c r="N49" s="13">
        <f t="shared" si="4"/>
        <v>45532.94574</v>
      </c>
      <c r="O49" s="13">
        <f t="shared" si="5"/>
        <v>45532.94714</v>
      </c>
      <c r="P49" s="16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9.5" customHeight="1">
      <c r="A50" s="14" t="s">
        <v>78</v>
      </c>
      <c r="B50" s="6" t="s">
        <v>18</v>
      </c>
      <c r="C50" s="7" t="str">
        <f t="shared" si="14"/>
        <v>CollarA1.0</v>
      </c>
      <c r="D50" s="15" t="s">
        <v>26</v>
      </c>
      <c r="E50" s="16">
        <v>1.0</v>
      </c>
      <c r="F50" s="16"/>
      <c r="G50" s="16"/>
      <c r="H50" s="17" t="s">
        <v>20</v>
      </c>
      <c r="I50" s="18">
        <v>45532.940150462964</v>
      </c>
      <c r="J50" s="18">
        <v>45532.94155092593</v>
      </c>
      <c r="K50" s="19">
        <v>0.007905092592592592</v>
      </c>
      <c r="L50" s="18">
        <f t="shared" si="2"/>
        <v>45532.94806</v>
      </c>
      <c r="M50" s="18">
        <f t="shared" si="3"/>
        <v>45532.94946</v>
      </c>
      <c r="N50" s="13">
        <f t="shared" si="4"/>
        <v>45532.94806</v>
      </c>
      <c r="O50" s="13">
        <f t="shared" si="5"/>
        <v>45532.94946</v>
      </c>
      <c r="P50" s="1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9.5" customHeight="1">
      <c r="A51" s="14" t="s">
        <v>79</v>
      </c>
      <c r="B51" s="6" t="s">
        <v>18</v>
      </c>
      <c r="C51" s="7" t="str">
        <f>H51</f>
        <v>TupperwareB</v>
      </c>
      <c r="D51" s="15" t="s">
        <v>35</v>
      </c>
      <c r="E51" s="16">
        <v>2.0</v>
      </c>
      <c r="F51" s="16"/>
      <c r="G51" s="16"/>
      <c r="H51" s="17" t="s">
        <v>33</v>
      </c>
      <c r="I51" s="18">
        <v>45532.94284722222</v>
      </c>
      <c r="J51" s="18">
        <v>45532.94425925926</v>
      </c>
      <c r="K51" s="19">
        <v>0.007905092592592592</v>
      </c>
      <c r="L51" s="18">
        <f t="shared" si="2"/>
        <v>45532.95075</v>
      </c>
      <c r="M51" s="18">
        <f t="shared" si="3"/>
        <v>45532.95216</v>
      </c>
      <c r="N51" s="13">
        <f t="shared" si="4"/>
        <v>45532.95075</v>
      </c>
      <c r="O51" s="13">
        <f t="shared" si="5"/>
        <v>45532.95216</v>
      </c>
      <c r="P51" s="16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9.5" customHeight="1">
      <c r="A52" s="14" t="s">
        <v>80</v>
      </c>
      <c r="B52" s="6" t="s">
        <v>18</v>
      </c>
      <c r="C52" s="7" t="str">
        <f t="shared" ref="C52:C55" si="15">CONCATENATE(H52,D52)</f>
        <v>CollarB0.9</v>
      </c>
      <c r="D52" s="15" t="s">
        <v>28</v>
      </c>
      <c r="E52" s="16">
        <v>1.0</v>
      </c>
      <c r="F52" s="16"/>
      <c r="G52" s="16"/>
      <c r="H52" s="17" t="s">
        <v>20</v>
      </c>
      <c r="I52" s="18">
        <v>45532.944814814815</v>
      </c>
      <c r="J52" s="18">
        <v>45532.946226851855</v>
      </c>
      <c r="K52" s="19">
        <v>0.007905092592592592</v>
      </c>
      <c r="L52" s="18">
        <f t="shared" si="2"/>
        <v>45532.95272</v>
      </c>
      <c r="M52" s="18">
        <f t="shared" si="3"/>
        <v>45532.95413</v>
      </c>
      <c r="N52" s="13">
        <f t="shared" si="4"/>
        <v>45532.95272</v>
      </c>
      <c r="O52" s="13">
        <f t="shared" si="5"/>
        <v>45532.95413</v>
      </c>
      <c r="P52" s="1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9.5" customHeight="1">
      <c r="A53" s="14" t="s">
        <v>81</v>
      </c>
      <c r="B53" s="6" t="s">
        <v>18</v>
      </c>
      <c r="C53" s="7" t="str">
        <f t="shared" si="15"/>
        <v>CollarC1.0</v>
      </c>
      <c r="D53" s="15" t="s">
        <v>30</v>
      </c>
      <c r="E53" s="16">
        <v>1.0</v>
      </c>
      <c r="F53" s="16"/>
      <c r="G53" s="16"/>
      <c r="H53" s="17" t="s">
        <v>20</v>
      </c>
      <c r="I53" s="18">
        <v>45532.94657407407</v>
      </c>
      <c r="J53" s="18">
        <v>45532.94797453703</v>
      </c>
      <c r="K53" s="19">
        <v>0.007905092592592592</v>
      </c>
      <c r="L53" s="18">
        <f t="shared" si="2"/>
        <v>45532.95448</v>
      </c>
      <c r="M53" s="18">
        <f t="shared" si="3"/>
        <v>45532.95588</v>
      </c>
      <c r="N53" s="13">
        <f t="shared" si="4"/>
        <v>45532.95448</v>
      </c>
      <c r="O53" s="13">
        <f t="shared" si="5"/>
        <v>45532.95588</v>
      </c>
      <c r="P53" s="1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9.5" customHeight="1">
      <c r="A54" s="14" t="s">
        <v>82</v>
      </c>
      <c r="B54" s="6" t="s">
        <v>18</v>
      </c>
      <c r="C54" s="7" t="str">
        <f t="shared" si="15"/>
        <v>CollarA0.32</v>
      </c>
      <c r="D54" s="15" t="s">
        <v>19</v>
      </c>
      <c r="E54" s="16">
        <v>0.25</v>
      </c>
      <c r="F54" s="16"/>
      <c r="G54" s="16"/>
      <c r="H54" s="17" t="s">
        <v>20</v>
      </c>
      <c r="I54" s="18">
        <v>45533.010613425926</v>
      </c>
      <c r="J54" s="18">
        <v>45533.012025462966</v>
      </c>
      <c r="K54" s="19">
        <v>0.007905092592592592</v>
      </c>
      <c r="L54" s="18">
        <f t="shared" si="2"/>
        <v>45533.01852</v>
      </c>
      <c r="M54" s="18">
        <f t="shared" si="3"/>
        <v>45533.01993</v>
      </c>
      <c r="N54" s="13">
        <f t="shared" si="4"/>
        <v>45533.01852</v>
      </c>
      <c r="O54" s="13">
        <f t="shared" si="5"/>
        <v>45533.01993</v>
      </c>
      <c r="P54" s="1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9.5" customHeight="1">
      <c r="A55" s="14" t="s">
        <v>83</v>
      </c>
      <c r="B55" s="6" t="s">
        <v>18</v>
      </c>
      <c r="C55" s="7" t="str">
        <f t="shared" si="15"/>
        <v>CollarA1.0</v>
      </c>
      <c r="D55" s="15" t="s">
        <v>26</v>
      </c>
      <c r="E55" s="16">
        <v>1.0</v>
      </c>
      <c r="F55" s="16"/>
      <c r="G55" s="16"/>
      <c r="H55" s="17" t="s">
        <v>20</v>
      </c>
      <c r="I55" s="18">
        <v>45533.012974537036</v>
      </c>
      <c r="J55" s="18">
        <v>45533.014398148145</v>
      </c>
      <c r="K55" s="19">
        <v>0.007905092592592592</v>
      </c>
      <c r="L55" s="18">
        <f t="shared" si="2"/>
        <v>45533.02088</v>
      </c>
      <c r="M55" s="18">
        <f t="shared" si="3"/>
        <v>45533.0223</v>
      </c>
      <c r="N55" s="13">
        <f t="shared" si="4"/>
        <v>45533.02088</v>
      </c>
      <c r="O55" s="13">
        <f t="shared" si="5"/>
        <v>45533.0223</v>
      </c>
      <c r="P55" s="1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9.5" customHeight="1">
      <c r="A56" s="14" t="s">
        <v>84</v>
      </c>
      <c r="B56" s="6" t="s">
        <v>18</v>
      </c>
      <c r="C56" s="7" t="str">
        <f t="shared" ref="C56:C57" si="16">H56</f>
        <v>TupperwareB</v>
      </c>
      <c r="D56" s="15" t="s">
        <v>39</v>
      </c>
      <c r="E56" s="16">
        <v>3.0</v>
      </c>
      <c r="F56" s="16"/>
      <c r="G56" s="16"/>
      <c r="H56" s="17" t="s">
        <v>33</v>
      </c>
      <c r="I56" s="18">
        <v>45533.01552083333</v>
      </c>
      <c r="J56" s="18">
        <v>45533.01721064815</v>
      </c>
      <c r="K56" s="19">
        <v>0.007905092592592592</v>
      </c>
      <c r="L56" s="18">
        <f t="shared" si="2"/>
        <v>45533.02343</v>
      </c>
      <c r="M56" s="18">
        <f t="shared" si="3"/>
        <v>45533.02512</v>
      </c>
      <c r="N56" s="13">
        <f t="shared" si="4"/>
        <v>45533.02343</v>
      </c>
      <c r="O56" s="13">
        <f t="shared" si="5"/>
        <v>45533.02512</v>
      </c>
      <c r="P56" s="1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9.5" customHeight="1">
      <c r="A57" s="14" t="s">
        <v>85</v>
      </c>
      <c r="B57" s="6" t="s">
        <v>18</v>
      </c>
      <c r="C57" s="7" t="str">
        <f t="shared" si="16"/>
        <v>TupperwareB</v>
      </c>
      <c r="D57" s="15" t="s">
        <v>32</v>
      </c>
      <c r="E57" s="16">
        <v>2.0</v>
      </c>
      <c r="F57" s="16"/>
      <c r="G57" s="16"/>
      <c r="H57" s="17" t="s">
        <v>33</v>
      </c>
      <c r="I57" s="18">
        <v>45533.01994212963</v>
      </c>
      <c r="J57" s="18">
        <v>45533.021365740744</v>
      </c>
      <c r="K57" s="19">
        <v>0.007905092592592592</v>
      </c>
      <c r="L57" s="18">
        <f t="shared" si="2"/>
        <v>45533.02785</v>
      </c>
      <c r="M57" s="18">
        <f t="shared" si="3"/>
        <v>45533.02927</v>
      </c>
      <c r="N57" s="13">
        <f t="shared" si="4"/>
        <v>45533.02785</v>
      </c>
      <c r="O57" s="13">
        <f t="shared" si="5"/>
        <v>45533.02927</v>
      </c>
      <c r="P57" s="1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9.5" customHeight="1">
      <c r="A58" s="14" t="s">
        <v>86</v>
      </c>
      <c r="B58" s="6" t="s">
        <v>18</v>
      </c>
      <c r="C58" s="7" t="str">
        <f t="shared" ref="C58:C59" si="17">CONCATENATE(H58,D58)</f>
        <v>CollarA0.32</v>
      </c>
      <c r="D58" s="15" t="s">
        <v>19</v>
      </c>
      <c r="E58" s="16">
        <v>0.25</v>
      </c>
      <c r="F58" s="16"/>
      <c r="G58" s="16"/>
      <c r="H58" s="17" t="s">
        <v>20</v>
      </c>
      <c r="I58" s="18">
        <v>45533.133888888886</v>
      </c>
      <c r="J58" s="18">
        <v>45533.13586805556</v>
      </c>
      <c r="K58" s="19">
        <v>0.007905092592592592</v>
      </c>
      <c r="L58" s="18">
        <f t="shared" si="2"/>
        <v>45533.14179</v>
      </c>
      <c r="M58" s="18">
        <f t="shared" si="3"/>
        <v>45533.14377</v>
      </c>
      <c r="N58" s="13">
        <f t="shared" si="4"/>
        <v>45533.14179</v>
      </c>
      <c r="O58" s="13">
        <f t="shared" si="5"/>
        <v>45533.14377</v>
      </c>
      <c r="P58" s="1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9.5" customHeight="1">
      <c r="A59" s="14" t="s">
        <v>87</v>
      </c>
      <c r="B59" s="6" t="s">
        <v>18</v>
      </c>
      <c r="C59" s="7" t="str">
        <f t="shared" si="17"/>
        <v>CollarA1.0</v>
      </c>
      <c r="D59" s="15" t="s">
        <v>26</v>
      </c>
      <c r="E59" s="16">
        <v>1.0</v>
      </c>
      <c r="F59" s="16"/>
      <c r="G59" s="16"/>
      <c r="H59" s="17" t="s">
        <v>20</v>
      </c>
      <c r="I59" s="18">
        <v>45533.13658564815</v>
      </c>
      <c r="J59" s="18">
        <v>45533.13799768518</v>
      </c>
      <c r="K59" s="19">
        <v>0.007905092592592592</v>
      </c>
      <c r="L59" s="18">
        <f t="shared" si="2"/>
        <v>45533.14449</v>
      </c>
      <c r="M59" s="18">
        <f t="shared" si="3"/>
        <v>45533.1459</v>
      </c>
      <c r="N59" s="13">
        <f t="shared" si="4"/>
        <v>45533.14449</v>
      </c>
      <c r="O59" s="13">
        <f t="shared" si="5"/>
        <v>45533.1459</v>
      </c>
      <c r="P59" s="1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9.5" customHeight="1">
      <c r="A60" s="14" t="s">
        <v>88</v>
      </c>
      <c r="B60" s="6" t="s">
        <v>18</v>
      </c>
      <c r="C60" s="7" t="str">
        <f t="shared" ref="C60:C61" si="18">H60</f>
        <v>TupperwareB</v>
      </c>
      <c r="D60" s="15" t="s">
        <v>39</v>
      </c>
      <c r="E60" s="16">
        <v>3.0</v>
      </c>
      <c r="F60" s="16"/>
      <c r="G60" s="16"/>
      <c r="H60" s="17" t="s">
        <v>33</v>
      </c>
      <c r="I60" s="18">
        <v>45533.14215277778</v>
      </c>
      <c r="J60" s="18">
        <v>45533.14356481482</v>
      </c>
      <c r="K60" s="19">
        <v>0.007905092592592592</v>
      </c>
      <c r="L60" s="18">
        <f t="shared" si="2"/>
        <v>45533.15006</v>
      </c>
      <c r="M60" s="18">
        <f t="shared" si="3"/>
        <v>45533.15147</v>
      </c>
      <c r="N60" s="13">
        <f t="shared" si="4"/>
        <v>45533.15006</v>
      </c>
      <c r="O60" s="13">
        <f t="shared" si="5"/>
        <v>45533.15147</v>
      </c>
      <c r="P60" s="1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9.5" customHeight="1">
      <c r="A61" s="14" t="s">
        <v>89</v>
      </c>
      <c r="B61" s="6" t="s">
        <v>18</v>
      </c>
      <c r="C61" s="7" t="str">
        <f t="shared" si="18"/>
        <v>TupperwareB</v>
      </c>
      <c r="D61" s="15" t="s">
        <v>32</v>
      </c>
      <c r="E61" s="16">
        <v>2.0</v>
      </c>
      <c r="F61" s="16"/>
      <c r="G61" s="16"/>
      <c r="H61" s="17" t="s">
        <v>33</v>
      </c>
      <c r="I61" s="18">
        <v>45533.14625</v>
      </c>
      <c r="J61" s="18">
        <v>45533.147777777776</v>
      </c>
      <c r="K61" s="19">
        <v>0.007905092592592592</v>
      </c>
      <c r="L61" s="18">
        <f t="shared" si="2"/>
        <v>45533.15416</v>
      </c>
      <c r="M61" s="18">
        <f t="shared" si="3"/>
        <v>45533.15568</v>
      </c>
      <c r="N61" s="13">
        <f t="shared" si="4"/>
        <v>45533.15416</v>
      </c>
      <c r="O61" s="13">
        <f t="shared" si="5"/>
        <v>45533.15568</v>
      </c>
      <c r="P61" s="16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9.5" customHeight="1">
      <c r="A62" s="14" t="s">
        <v>90</v>
      </c>
      <c r="B62" s="6" t="s">
        <v>18</v>
      </c>
      <c r="C62" s="7" t="str">
        <f t="shared" ref="C62:C65" si="19">CONCATENATE(H62,D62)</f>
        <v>CollarB0.9</v>
      </c>
      <c r="D62" s="15" t="s">
        <v>28</v>
      </c>
      <c r="E62" s="16">
        <v>1.0</v>
      </c>
      <c r="F62" s="16"/>
      <c r="G62" s="16"/>
      <c r="H62" s="17" t="s">
        <v>20</v>
      </c>
      <c r="I62" s="18">
        <v>45533.1493287037</v>
      </c>
      <c r="J62" s="18">
        <v>45533.150868055556</v>
      </c>
      <c r="K62" s="19">
        <v>0.007905092592592592</v>
      </c>
      <c r="L62" s="18">
        <f t="shared" si="2"/>
        <v>45533.15723</v>
      </c>
      <c r="M62" s="18">
        <f t="shared" si="3"/>
        <v>45533.15877</v>
      </c>
      <c r="N62" s="13">
        <f t="shared" si="4"/>
        <v>45533.15723</v>
      </c>
      <c r="O62" s="13">
        <f t="shared" si="5"/>
        <v>45533.15877</v>
      </c>
      <c r="P62" s="16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9.5" customHeight="1">
      <c r="A63" s="14" t="s">
        <v>91</v>
      </c>
      <c r="B63" s="6" t="s">
        <v>18</v>
      </c>
      <c r="C63" s="7" t="str">
        <f t="shared" si="19"/>
        <v>CollarC1.0</v>
      </c>
      <c r="D63" s="15" t="s">
        <v>30</v>
      </c>
      <c r="E63" s="16">
        <v>1.0</v>
      </c>
      <c r="F63" s="16"/>
      <c r="G63" s="16"/>
      <c r="H63" s="17" t="s">
        <v>20</v>
      </c>
      <c r="I63" s="18">
        <v>45533.15118055556</v>
      </c>
      <c r="J63" s="18">
        <v>45533.152650462966</v>
      </c>
      <c r="K63" s="19">
        <v>0.007905092592592592</v>
      </c>
      <c r="L63" s="18">
        <f t="shared" si="2"/>
        <v>45533.15909</v>
      </c>
      <c r="M63" s="18">
        <f t="shared" si="3"/>
        <v>45533.16056</v>
      </c>
      <c r="N63" s="13">
        <f t="shared" si="4"/>
        <v>45533.15909</v>
      </c>
      <c r="O63" s="13">
        <f t="shared" si="5"/>
        <v>45533.16056</v>
      </c>
      <c r="P63" s="16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9.5" customHeight="1">
      <c r="A64" s="14" t="s">
        <v>92</v>
      </c>
      <c r="B64" s="6" t="s">
        <v>18</v>
      </c>
      <c r="C64" s="7" t="str">
        <f t="shared" si="19"/>
        <v>CollarB0.25</v>
      </c>
      <c r="D64" s="15" t="s">
        <v>22</v>
      </c>
      <c r="E64" s="16">
        <v>0.25</v>
      </c>
      <c r="F64" s="16"/>
      <c r="G64" s="16"/>
      <c r="H64" s="17" t="s">
        <v>20</v>
      </c>
      <c r="I64" s="18">
        <v>45533.1533912037</v>
      </c>
      <c r="J64" s="18">
        <v>45533.15510416667</v>
      </c>
      <c r="K64" s="19">
        <v>0.007905092592592592</v>
      </c>
      <c r="L64" s="18">
        <f t="shared" si="2"/>
        <v>45533.1613</v>
      </c>
      <c r="M64" s="18">
        <f t="shared" si="3"/>
        <v>45533.16301</v>
      </c>
      <c r="N64" s="13">
        <f t="shared" si="4"/>
        <v>45533.1613</v>
      </c>
      <c r="O64" s="13">
        <f t="shared" si="5"/>
        <v>45533.16301</v>
      </c>
      <c r="P64" s="16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9.5" customHeight="1">
      <c r="A65" s="14" t="s">
        <v>93</v>
      </c>
      <c r="B65" s="6" t="s">
        <v>18</v>
      </c>
      <c r="C65" s="7" t="str">
        <f t="shared" si="19"/>
        <v>CollarC0.35</v>
      </c>
      <c r="D65" s="15" t="s">
        <v>24</v>
      </c>
      <c r="E65" s="16">
        <v>0.25</v>
      </c>
      <c r="F65" s="16"/>
      <c r="G65" s="16"/>
      <c r="H65" s="17" t="s">
        <v>20</v>
      </c>
      <c r="I65" s="18">
        <v>45533.15571759259</v>
      </c>
      <c r="J65" s="18">
        <v>45533.15728009259</v>
      </c>
      <c r="K65" s="19">
        <v>0.007905092592592592</v>
      </c>
      <c r="L65" s="18">
        <f t="shared" si="2"/>
        <v>45533.16362</v>
      </c>
      <c r="M65" s="18">
        <f t="shared" si="3"/>
        <v>45533.16519</v>
      </c>
      <c r="N65" s="13">
        <f t="shared" si="4"/>
        <v>45533.16362</v>
      </c>
      <c r="O65" s="13">
        <f t="shared" si="5"/>
        <v>45533.16519</v>
      </c>
      <c r="P65" s="16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9.5" customHeight="1">
      <c r="A66" s="14" t="s">
        <v>94</v>
      </c>
      <c r="B66" s="6" t="s">
        <v>18</v>
      </c>
      <c r="C66" s="7" t="str">
        <f t="shared" ref="C66:C67" si="20">H66</f>
        <v>TupperwareB</v>
      </c>
      <c r="D66" s="15" t="s">
        <v>35</v>
      </c>
      <c r="E66" s="16">
        <v>2.0</v>
      </c>
      <c r="F66" s="16"/>
      <c r="G66" s="16"/>
      <c r="H66" s="17" t="s">
        <v>33</v>
      </c>
      <c r="I66" s="18">
        <v>45533.158634259256</v>
      </c>
      <c r="J66" s="18">
        <v>45533.16011574074</v>
      </c>
      <c r="K66" s="19">
        <v>0.007905092592592592</v>
      </c>
      <c r="L66" s="18">
        <f t="shared" si="2"/>
        <v>45533.16654</v>
      </c>
      <c r="M66" s="18">
        <f t="shared" si="3"/>
        <v>45533.16802</v>
      </c>
      <c r="N66" s="13">
        <f t="shared" si="4"/>
        <v>45533.16654</v>
      </c>
      <c r="O66" s="13">
        <f t="shared" si="5"/>
        <v>45533.16802</v>
      </c>
      <c r="P66" s="16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9.5" customHeight="1">
      <c r="A67" s="14" t="s">
        <v>95</v>
      </c>
      <c r="B67" s="6" t="s">
        <v>18</v>
      </c>
      <c r="C67" s="7" t="str">
        <f t="shared" si="20"/>
        <v>TupperwareB</v>
      </c>
      <c r="D67" s="15" t="s">
        <v>37</v>
      </c>
      <c r="E67" s="16">
        <v>2.0</v>
      </c>
      <c r="F67" s="16"/>
      <c r="G67" s="16"/>
      <c r="H67" s="17" t="s">
        <v>33</v>
      </c>
      <c r="I67" s="18">
        <v>45533.16116898148</v>
      </c>
      <c r="J67" s="18">
        <v>45533.16326388889</v>
      </c>
      <c r="K67" s="19">
        <v>0.007905092592592592</v>
      </c>
      <c r="L67" s="18">
        <f t="shared" si="2"/>
        <v>45533.16907</v>
      </c>
      <c r="M67" s="18">
        <f t="shared" si="3"/>
        <v>45533.17117</v>
      </c>
      <c r="N67" s="13">
        <f t="shared" si="4"/>
        <v>45533.16907</v>
      </c>
      <c r="O67" s="13">
        <f t="shared" si="5"/>
        <v>45533.17117</v>
      </c>
      <c r="P67" s="16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9.5" customHeight="1">
      <c r="A68" s="14" t="s">
        <v>96</v>
      </c>
      <c r="B68" s="6" t="s">
        <v>18</v>
      </c>
      <c r="C68" s="7" t="str">
        <f>CONCATENATE(H68,D68)</f>
        <v>CollarA0.32</v>
      </c>
      <c r="D68" s="15" t="s">
        <v>19</v>
      </c>
      <c r="E68" s="16">
        <v>0.25</v>
      </c>
      <c r="F68" s="16"/>
      <c r="G68" s="16"/>
      <c r="H68" s="17" t="s">
        <v>20</v>
      </c>
      <c r="I68" s="18">
        <v>45533.21040509259</v>
      </c>
      <c r="J68" s="18">
        <v>45533.211805555555</v>
      </c>
      <c r="K68" s="19">
        <v>0.007905092592592592</v>
      </c>
      <c r="L68" s="18">
        <f t="shared" si="2"/>
        <v>45533.21831</v>
      </c>
      <c r="M68" s="18">
        <f t="shared" si="3"/>
        <v>45533.21971</v>
      </c>
      <c r="N68" s="13">
        <f t="shared" si="4"/>
        <v>45533.21831</v>
      </c>
      <c r="O68" s="13">
        <f t="shared" si="5"/>
        <v>45533.21971</v>
      </c>
      <c r="P68" s="16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9.5" customHeight="1">
      <c r="A69" s="14" t="s">
        <v>97</v>
      </c>
      <c r="B69" s="6" t="s">
        <v>18</v>
      </c>
      <c r="C69" s="7" t="str">
        <f>H69</f>
        <v>TupperwareB</v>
      </c>
      <c r="D69" s="15" t="s">
        <v>39</v>
      </c>
      <c r="E69" s="16">
        <v>3.0</v>
      </c>
      <c r="F69" s="16"/>
      <c r="G69" s="16"/>
      <c r="H69" s="17" t="s">
        <v>33</v>
      </c>
      <c r="I69" s="18">
        <v>45533.21296296296</v>
      </c>
      <c r="J69" s="18">
        <v>45533.21436342593</v>
      </c>
      <c r="K69" s="19">
        <v>0.007905092592592592</v>
      </c>
      <c r="L69" s="18">
        <f t="shared" si="2"/>
        <v>45533.22087</v>
      </c>
      <c r="M69" s="18">
        <f t="shared" si="3"/>
        <v>45533.22227</v>
      </c>
      <c r="N69" s="13">
        <f t="shared" si="4"/>
        <v>45533.22087</v>
      </c>
      <c r="O69" s="13">
        <f t="shared" si="5"/>
        <v>45533.22227</v>
      </c>
      <c r="P69" s="16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9.5" customHeight="1">
      <c r="A70" s="14" t="s">
        <v>98</v>
      </c>
      <c r="B70" s="6" t="s">
        <v>18</v>
      </c>
      <c r="C70" s="7" t="str">
        <f>CONCATENATE(H70,D70)</f>
        <v>CollarA1.0</v>
      </c>
      <c r="D70" s="15" t="s">
        <v>26</v>
      </c>
      <c r="E70" s="16">
        <v>1.0</v>
      </c>
      <c r="F70" s="16"/>
      <c r="G70" s="16"/>
      <c r="H70" s="17" t="s">
        <v>20</v>
      </c>
      <c r="I70" s="18">
        <v>45533.21488425926</v>
      </c>
      <c r="J70" s="18">
        <v>45533.21628472222</v>
      </c>
      <c r="K70" s="19">
        <v>0.007905092592592592</v>
      </c>
      <c r="L70" s="18">
        <f t="shared" si="2"/>
        <v>45533.22279</v>
      </c>
      <c r="M70" s="18">
        <f t="shared" si="3"/>
        <v>45533.22419</v>
      </c>
      <c r="N70" s="13">
        <f t="shared" si="4"/>
        <v>45533.22279</v>
      </c>
      <c r="O70" s="13">
        <f t="shared" si="5"/>
        <v>45533.22419</v>
      </c>
      <c r="P70" s="1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9.5" customHeight="1">
      <c r="A71" s="14" t="s">
        <v>99</v>
      </c>
      <c r="B71" s="6" t="s">
        <v>18</v>
      </c>
      <c r="C71" s="7" t="str">
        <f t="shared" ref="C71:C72" si="21">H71</f>
        <v>TupperwareB</v>
      </c>
      <c r="D71" s="15" t="s">
        <v>32</v>
      </c>
      <c r="E71" s="16">
        <v>2.0</v>
      </c>
      <c r="F71" s="16"/>
      <c r="G71" s="16"/>
      <c r="H71" s="17" t="s">
        <v>33</v>
      </c>
      <c r="I71" s="18">
        <v>45533.21695601852</v>
      </c>
      <c r="J71" s="18">
        <v>45533.21836805555</v>
      </c>
      <c r="K71" s="19">
        <v>0.007905092592592592</v>
      </c>
      <c r="L71" s="18">
        <f t="shared" si="2"/>
        <v>45533.22486</v>
      </c>
      <c r="M71" s="18">
        <f t="shared" si="3"/>
        <v>45533.22627</v>
      </c>
      <c r="N71" s="13">
        <f t="shared" si="4"/>
        <v>45533.22486</v>
      </c>
      <c r="O71" s="13">
        <f t="shared" si="5"/>
        <v>45533.22627</v>
      </c>
      <c r="P71" s="16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9.5" customHeight="1">
      <c r="A72" s="14" t="s">
        <v>100</v>
      </c>
      <c r="B72" s="6" t="s">
        <v>18</v>
      </c>
      <c r="C72" s="7" t="str">
        <f t="shared" si="21"/>
        <v>TupperwareB</v>
      </c>
      <c r="D72" s="15" t="s">
        <v>32</v>
      </c>
      <c r="E72" s="16">
        <v>2.0</v>
      </c>
      <c r="F72" s="16"/>
      <c r="G72" s="16"/>
      <c r="H72" s="17" t="s">
        <v>33</v>
      </c>
      <c r="I72" s="18">
        <v>45533.25472222222</v>
      </c>
      <c r="J72" s="18">
        <v>45533.25613425926</v>
      </c>
      <c r="K72" s="19">
        <v>0.007905092592592592</v>
      </c>
      <c r="L72" s="18">
        <f t="shared" si="2"/>
        <v>45533.26263</v>
      </c>
      <c r="M72" s="18">
        <f t="shared" si="3"/>
        <v>45533.26404</v>
      </c>
      <c r="N72" s="13">
        <f t="shared" si="4"/>
        <v>45533.26263</v>
      </c>
      <c r="O72" s="13">
        <f t="shared" si="5"/>
        <v>45533.26404</v>
      </c>
      <c r="P72" s="1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9.5" customHeight="1">
      <c r="A73" s="14" t="s">
        <v>101</v>
      </c>
      <c r="B73" s="6" t="s">
        <v>18</v>
      </c>
      <c r="C73" s="7" t="str">
        <f>CONCATENATE(H73,D73)</f>
        <v>CollarA0.32</v>
      </c>
      <c r="D73" s="15" t="s">
        <v>19</v>
      </c>
      <c r="E73" s="16">
        <v>0.25</v>
      </c>
      <c r="F73" s="16"/>
      <c r="G73" s="16"/>
      <c r="H73" s="17" t="s">
        <v>20</v>
      </c>
      <c r="I73" s="18">
        <v>45533.25664351852</v>
      </c>
      <c r="J73" s="18">
        <v>45533.258055555554</v>
      </c>
      <c r="K73" s="19">
        <v>0.007905092592592592</v>
      </c>
      <c r="L73" s="18">
        <f t="shared" si="2"/>
        <v>45533.26455</v>
      </c>
      <c r="M73" s="18">
        <f t="shared" si="3"/>
        <v>45533.26596</v>
      </c>
      <c r="N73" s="13">
        <f t="shared" si="4"/>
        <v>45533.26455</v>
      </c>
      <c r="O73" s="13">
        <f t="shared" si="5"/>
        <v>45533.26596</v>
      </c>
      <c r="P73" s="16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9.5" customHeight="1">
      <c r="A74" s="14" t="s">
        <v>102</v>
      </c>
      <c r="B74" s="6" t="s">
        <v>18</v>
      </c>
      <c r="C74" s="7" t="str">
        <f>H74</f>
        <v>TupperwareB</v>
      </c>
      <c r="D74" s="15" t="s">
        <v>35</v>
      </c>
      <c r="E74" s="16">
        <v>2.0</v>
      </c>
      <c r="F74" s="16"/>
      <c r="G74" s="16"/>
      <c r="H74" s="17" t="s">
        <v>33</v>
      </c>
      <c r="I74" s="18">
        <v>45533.260405092595</v>
      </c>
      <c r="J74" s="18">
        <v>45533.26180555556</v>
      </c>
      <c r="K74" s="19">
        <v>0.007905092592592592</v>
      </c>
      <c r="L74" s="18">
        <f t="shared" si="2"/>
        <v>45533.26831</v>
      </c>
      <c r="M74" s="18">
        <f t="shared" si="3"/>
        <v>45533.26971</v>
      </c>
      <c r="N74" s="13">
        <f t="shared" si="4"/>
        <v>45533.26831</v>
      </c>
      <c r="O74" s="13">
        <f t="shared" si="5"/>
        <v>45533.26971</v>
      </c>
      <c r="P74" s="16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9.5" customHeight="1">
      <c r="A75" s="14" t="s">
        <v>103</v>
      </c>
      <c r="B75" s="6" t="s">
        <v>18</v>
      </c>
      <c r="C75" s="7" t="str">
        <f>CONCATENATE(H75,D75)</f>
        <v>CollarB0.25</v>
      </c>
      <c r="D75" s="15" t="s">
        <v>22</v>
      </c>
      <c r="E75" s="16">
        <v>0.25</v>
      </c>
      <c r="F75" s="16"/>
      <c r="G75" s="16"/>
      <c r="H75" s="17" t="s">
        <v>20</v>
      </c>
      <c r="I75" s="18">
        <v>45533.262777777774</v>
      </c>
      <c r="J75" s="18">
        <v>45533.26417824074</v>
      </c>
      <c r="K75" s="19">
        <v>0.007905092592592592</v>
      </c>
      <c r="L75" s="18">
        <f t="shared" si="2"/>
        <v>45533.27068</v>
      </c>
      <c r="M75" s="18">
        <f t="shared" si="3"/>
        <v>45533.27208</v>
      </c>
      <c r="N75" s="13">
        <f t="shared" si="4"/>
        <v>45533.27068</v>
      </c>
      <c r="O75" s="13">
        <f t="shared" si="5"/>
        <v>45533.27208</v>
      </c>
      <c r="P75" s="16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9.5" customHeight="1">
      <c r="A76" s="14" t="s">
        <v>104</v>
      </c>
      <c r="B76" s="6" t="s">
        <v>18</v>
      </c>
      <c r="C76" s="7" t="str">
        <f>H76</f>
        <v>TupperwareB</v>
      </c>
      <c r="D76" s="15" t="s">
        <v>39</v>
      </c>
      <c r="E76" s="16">
        <v>3.0</v>
      </c>
      <c r="F76" s="16"/>
      <c r="G76" s="16"/>
      <c r="H76" s="17" t="s">
        <v>33</v>
      </c>
      <c r="I76" s="18">
        <v>45533.26483796296</v>
      </c>
      <c r="J76" s="18">
        <v>45533.26625</v>
      </c>
      <c r="K76" s="19">
        <v>0.007905092592592592</v>
      </c>
      <c r="L76" s="18">
        <f t="shared" si="2"/>
        <v>45533.27274</v>
      </c>
      <c r="M76" s="18">
        <f t="shared" si="3"/>
        <v>45533.27416</v>
      </c>
      <c r="N76" s="13">
        <f t="shared" si="4"/>
        <v>45533.27274</v>
      </c>
      <c r="O76" s="13">
        <f t="shared" si="5"/>
        <v>45533.27416</v>
      </c>
      <c r="P76" s="16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9.5" customHeight="1">
      <c r="A77" s="14" t="s">
        <v>105</v>
      </c>
      <c r="B77" s="6" t="s">
        <v>18</v>
      </c>
      <c r="C77" s="7" t="str">
        <f t="shared" ref="C77:C80" si="22">CONCATENATE(H77,D77)</f>
        <v>CollarC0.35</v>
      </c>
      <c r="D77" s="15" t="s">
        <v>24</v>
      </c>
      <c r="E77" s="16">
        <v>0.25</v>
      </c>
      <c r="F77" s="16"/>
      <c r="G77" s="16"/>
      <c r="H77" s="17" t="s">
        <v>20</v>
      </c>
      <c r="I77" s="18">
        <v>45533.26681712963</v>
      </c>
      <c r="J77" s="18">
        <v>45533.268217592595</v>
      </c>
      <c r="K77" s="19">
        <v>0.007905092592592592</v>
      </c>
      <c r="L77" s="18">
        <f t="shared" si="2"/>
        <v>45533.27472</v>
      </c>
      <c r="M77" s="18">
        <f t="shared" si="3"/>
        <v>45533.27612</v>
      </c>
      <c r="N77" s="13">
        <f t="shared" si="4"/>
        <v>45533.27472</v>
      </c>
      <c r="O77" s="13">
        <f t="shared" si="5"/>
        <v>45533.27612</v>
      </c>
      <c r="P77" s="16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9.5" customHeight="1">
      <c r="A78" s="14" t="s">
        <v>106</v>
      </c>
      <c r="B78" s="6" t="s">
        <v>18</v>
      </c>
      <c r="C78" s="7" t="str">
        <f t="shared" si="22"/>
        <v>CollarA1.0</v>
      </c>
      <c r="D78" s="15" t="s">
        <v>26</v>
      </c>
      <c r="E78" s="16">
        <v>1.0</v>
      </c>
      <c r="F78" s="16"/>
      <c r="G78" s="16"/>
      <c r="H78" s="17" t="s">
        <v>20</v>
      </c>
      <c r="I78" s="18">
        <v>45533.26862268519</v>
      </c>
      <c r="J78" s="18">
        <v>45533.27002314815</v>
      </c>
      <c r="K78" s="19">
        <v>0.007905092592592592</v>
      </c>
      <c r="L78" s="18">
        <f t="shared" si="2"/>
        <v>45533.27653</v>
      </c>
      <c r="M78" s="18">
        <f t="shared" si="3"/>
        <v>45533.27793</v>
      </c>
      <c r="N78" s="13">
        <f t="shared" si="4"/>
        <v>45533.27653</v>
      </c>
      <c r="O78" s="13">
        <f t="shared" si="5"/>
        <v>45533.27793</v>
      </c>
      <c r="P78" s="16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9.5" customHeight="1">
      <c r="A79" s="14" t="s">
        <v>107</v>
      </c>
      <c r="B79" s="6" t="s">
        <v>18</v>
      </c>
      <c r="C79" s="7" t="str">
        <f t="shared" si="22"/>
        <v>CollarB0.9</v>
      </c>
      <c r="D79" s="15" t="s">
        <v>28</v>
      </c>
      <c r="E79" s="16">
        <v>1.0</v>
      </c>
      <c r="F79" s="16"/>
      <c r="G79" s="16"/>
      <c r="H79" s="17" t="s">
        <v>20</v>
      </c>
      <c r="I79" s="18">
        <v>45533.27042824074</v>
      </c>
      <c r="J79" s="18">
        <v>45533.271828703706</v>
      </c>
      <c r="K79" s="19">
        <v>0.007905092592592592</v>
      </c>
      <c r="L79" s="18">
        <f t="shared" si="2"/>
        <v>45533.27833</v>
      </c>
      <c r="M79" s="18">
        <f t="shared" si="3"/>
        <v>45533.27973</v>
      </c>
      <c r="N79" s="13">
        <f t="shared" si="4"/>
        <v>45533.27833</v>
      </c>
      <c r="O79" s="13">
        <f t="shared" si="5"/>
        <v>45533.27973</v>
      </c>
      <c r="P79" s="16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9.5" customHeight="1">
      <c r="A80" s="14" t="s">
        <v>108</v>
      </c>
      <c r="B80" s="6" t="s">
        <v>18</v>
      </c>
      <c r="C80" s="7" t="str">
        <f t="shared" si="22"/>
        <v>CollarC1.0</v>
      </c>
      <c r="D80" s="15" t="s">
        <v>30</v>
      </c>
      <c r="E80" s="16">
        <v>1.0</v>
      </c>
      <c r="F80" s="16"/>
      <c r="G80" s="16"/>
      <c r="H80" s="17" t="s">
        <v>20</v>
      </c>
      <c r="I80" s="18">
        <v>45533.272199074076</v>
      </c>
      <c r="J80" s="18">
        <v>45533.27359953704</v>
      </c>
      <c r="K80" s="19">
        <v>0.007905092592592592</v>
      </c>
      <c r="L80" s="18">
        <f t="shared" si="2"/>
        <v>45533.2801</v>
      </c>
      <c r="M80" s="18">
        <f t="shared" si="3"/>
        <v>45533.2815</v>
      </c>
      <c r="N80" s="13">
        <f t="shared" si="4"/>
        <v>45533.2801</v>
      </c>
      <c r="O80" s="13">
        <f t="shared" si="5"/>
        <v>45533.2815</v>
      </c>
      <c r="P80" s="16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9.5" customHeight="1">
      <c r="A81" s="14" t="s">
        <v>109</v>
      </c>
      <c r="B81" s="6" t="s">
        <v>18</v>
      </c>
      <c r="C81" s="7" t="str">
        <f>H81</f>
        <v>TupperwareB</v>
      </c>
      <c r="D81" s="15" t="s">
        <v>39</v>
      </c>
      <c r="E81" s="16">
        <v>3.0</v>
      </c>
      <c r="F81" s="16"/>
      <c r="G81" s="16"/>
      <c r="H81" s="17" t="s">
        <v>33</v>
      </c>
      <c r="I81" s="18">
        <v>45533.29430555556</v>
      </c>
      <c r="J81" s="18">
        <v>45533.29570601852</v>
      </c>
      <c r="K81" s="19">
        <v>0.007905092592592592</v>
      </c>
      <c r="L81" s="18">
        <f t="shared" si="2"/>
        <v>45533.30221</v>
      </c>
      <c r="M81" s="18">
        <f t="shared" si="3"/>
        <v>45533.30361</v>
      </c>
      <c r="N81" s="13">
        <f t="shared" si="4"/>
        <v>45533.30221</v>
      </c>
      <c r="O81" s="13">
        <f t="shared" si="5"/>
        <v>45533.30361</v>
      </c>
      <c r="P81" s="16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9.5" customHeight="1">
      <c r="A82" s="14" t="s">
        <v>110</v>
      </c>
      <c r="B82" s="6" t="s">
        <v>18</v>
      </c>
      <c r="C82" s="7" t="str">
        <f>CONCATENATE(H82,D82)</f>
        <v>CollarA0.32</v>
      </c>
      <c r="D82" s="15" t="s">
        <v>19</v>
      </c>
      <c r="E82" s="16">
        <v>0.25</v>
      </c>
      <c r="F82" s="16"/>
      <c r="G82" s="16"/>
      <c r="H82" s="17" t="s">
        <v>20</v>
      </c>
      <c r="I82" s="18">
        <v>45533.29625</v>
      </c>
      <c r="J82" s="18">
        <v>45533.29766203704</v>
      </c>
      <c r="K82" s="19">
        <v>0.007905092592592592</v>
      </c>
      <c r="L82" s="18">
        <f t="shared" si="2"/>
        <v>45533.30416</v>
      </c>
      <c r="M82" s="18">
        <f t="shared" si="3"/>
        <v>45533.30557</v>
      </c>
      <c r="N82" s="13">
        <f t="shared" si="4"/>
        <v>45533.30416</v>
      </c>
      <c r="O82" s="13">
        <f t="shared" si="5"/>
        <v>45533.30557</v>
      </c>
      <c r="P82" s="16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9.5" customHeight="1">
      <c r="A83" s="14" t="s">
        <v>111</v>
      </c>
      <c r="B83" s="6" t="s">
        <v>18</v>
      </c>
      <c r="C83" s="7" t="str">
        <f>H83</f>
        <v>TupperwareB</v>
      </c>
      <c r="D83" s="15" t="s">
        <v>32</v>
      </c>
      <c r="E83" s="16">
        <v>2.0</v>
      </c>
      <c r="F83" s="16"/>
      <c r="G83" s="16"/>
      <c r="H83" s="17" t="s">
        <v>33</v>
      </c>
      <c r="I83" s="18">
        <v>45533.29883101852</v>
      </c>
      <c r="J83" s="18">
        <v>45533.30024305556</v>
      </c>
      <c r="K83" s="19">
        <v>0.007905092592592592</v>
      </c>
      <c r="L83" s="18">
        <f t="shared" si="2"/>
        <v>45533.30674</v>
      </c>
      <c r="M83" s="18">
        <f t="shared" si="3"/>
        <v>45533.30815</v>
      </c>
      <c r="N83" s="13">
        <f t="shared" si="4"/>
        <v>45533.30674</v>
      </c>
      <c r="O83" s="13">
        <f t="shared" si="5"/>
        <v>45533.30815</v>
      </c>
      <c r="P83" s="16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9.5" customHeight="1">
      <c r="A84" s="14" t="s">
        <v>112</v>
      </c>
      <c r="B84" s="6" t="s">
        <v>18</v>
      </c>
      <c r="C84" s="7" t="str">
        <f t="shared" ref="C84:C90" si="23">CONCATENATE(H84,D84)</f>
        <v>CollarA1.0</v>
      </c>
      <c r="D84" s="15" t="s">
        <v>26</v>
      </c>
      <c r="E84" s="16">
        <v>1.0</v>
      </c>
      <c r="F84" s="16"/>
      <c r="G84" s="16"/>
      <c r="H84" s="17" t="s">
        <v>20</v>
      </c>
      <c r="I84" s="18">
        <v>45533.30122685185</v>
      </c>
      <c r="J84" s="18">
        <v>45533.30265046296</v>
      </c>
      <c r="K84" s="19">
        <v>0.007905092592592592</v>
      </c>
      <c r="L84" s="18">
        <f t="shared" si="2"/>
        <v>45533.30913</v>
      </c>
      <c r="M84" s="18">
        <f t="shared" si="3"/>
        <v>45533.31056</v>
      </c>
      <c r="N84" s="13">
        <f t="shared" si="4"/>
        <v>45533.30913</v>
      </c>
      <c r="O84" s="13">
        <f t="shared" si="5"/>
        <v>45533.31056</v>
      </c>
      <c r="P84" s="16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9.5" customHeight="1">
      <c r="A85" s="14" t="s">
        <v>113</v>
      </c>
      <c r="B85" s="6" t="s">
        <v>18</v>
      </c>
      <c r="C85" s="7" t="str">
        <f t="shared" si="23"/>
        <v>CollarA0.32</v>
      </c>
      <c r="D85" s="15" t="s">
        <v>19</v>
      </c>
      <c r="E85" s="16">
        <v>0.25</v>
      </c>
      <c r="F85" s="16"/>
      <c r="G85" s="16"/>
      <c r="H85" s="17" t="s">
        <v>20</v>
      </c>
      <c r="I85" s="18">
        <v>45533.3699537037</v>
      </c>
      <c r="J85" s="18">
        <v>45533.37136574074</v>
      </c>
      <c r="K85" s="19">
        <v>0.007905092592592592</v>
      </c>
      <c r="L85" s="18">
        <f t="shared" si="2"/>
        <v>45533.37786</v>
      </c>
      <c r="M85" s="18">
        <f t="shared" si="3"/>
        <v>45533.37927</v>
      </c>
      <c r="N85" s="13">
        <f t="shared" si="4"/>
        <v>45533.37786</v>
      </c>
      <c r="O85" s="13">
        <f t="shared" si="5"/>
        <v>45533.37927</v>
      </c>
      <c r="P85" s="16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9.5" customHeight="1">
      <c r="A86" s="14" t="s">
        <v>114</v>
      </c>
      <c r="B86" s="6" t="s">
        <v>18</v>
      </c>
      <c r="C86" s="7" t="str">
        <f t="shared" si="23"/>
        <v>CollarB0.25</v>
      </c>
      <c r="D86" s="15" t="s">
        <v>22</v>
      </c>
      <c r="E86" s="16">
        <v>0.25</v>
      </c>
      <c r="F86" s="16"/>
      <c r="G86" s="16"/>
      <c r="H86" s="17" t="s">
        <v>20</v>
      </c>
      <c r="I86" s="18">
        <v>45533.37189814815</v>
      </c>
      <c r="J86" s="18">
        <v>45533.37347222222</v>
      </c>
      <c r="K86" s="19">
        <v>0.007905092592592592</v>
      </c>
      <c r="L86" s="18">
        <f t="shared" si="2"/>
        <v>45533.3798</v>
      </c>
      <c r="M86" s="18">
        <f t="shared" si="3"/>
        <v>45533.38138</v>
      </c>
      <c r="N86" s="13">
        <f t="shared" si="4"/>
        <v>45533.3798</v>
      </c>
      <c r="O86" s="13">
        <f t="shared" si="5"/>
        <v>45533.38138</v>
      </c>
      <c r="P86" s="16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9.5" customHeight="1">
      <c r="A87" s="14" t="s">
        <v>115</v>
      </c>
      <c r="B87" s="6" t="s">
        <v>18</v>
      </c>
      <c r="C87" s="7" t="str">
        <f t="shared" si="23"/>
        <v>CollarC0.35</v>
      </c>
      <c r="D87" s="15" t="s">
        <v>24</v>
      </c>
      <c r="E87" s="16">
        <v>0.25</v>
      </c>
      <c r="F87" s="16"/>
      <c r="G87" s="16"/>
      <c r="H87" s="17" t="s">
        <v>20</v>
      </c>
      <c r="I87" s="18">
        <v>45533.373773148145</v>
      </c>
      <c r="J87" s="18">
        <v>45533.375185185185</v>
      </c>
      <c r="K87" s="19">
        <v>0.007905092592592592</v>
      </c>
      <c r="L87" s="18">
        <f t="shared" si="2"/>
        <v>45533.38168</v>
      </c>
      <c r="M87" s="18">
        <f t="shared" si="3"/>
        <v>45533.38309</v>
      </c>
      <c r="N87" s="13">
        <f t="shared" si="4"/>
        <v>45533.38168</v>
      </c>
      <c r="O87" s="13">
        <f t="shared" si="5"/>
        <v>45533.38309</v>
      </c>
      <c r="P87" s="16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9.5" customHeight="1">
      <c r="A88" s="14" t="s">
        <v>116</v>
      </c>
      <c r="B88" s="6" t="s">
        <v>18</v>
      </c>
      <c r="C88" s="7" t="str">
        <f t="shared" si="23"/>
        <v>CollarA1.0</v>
      </c>
      <c r="D88" s="15" t="s">
        <v>26</v>
      </c>
      <c r="E88" s="16">
        <v>1.0</v>
      </c>
      <c r="F88" s="16"/>
      <c r="G88" s="16"/>
      <c r="H88" s="17" t="s">
        <v>20</v>
      </c>
      <c r="I88" s="18">
        <v>45533.37547453704</v>
      </c>
      <c r="J88" s="18">
        <v>45533.3778587963</v>
      </c>
      <c r="K88" s="19">
        <v>0.007905092592592592</v>
      </c>
      <c r="L88" s="18">
        <f t="shared" si="2"/>
        <v>45533.38338</v>
      </c>
      <c r="M88" s="18">
        <f t="shared" si="3"/>
        <v>45533.38576</v>
      </c>
      <c r="N88" s="13">
        <f t="shared" si="4"/>
        <v>45533.38338</v>
      </c>
      <c r="O88" s="13">
        <f t="shared" si="5"/>
        <v>45533.38576</v>
      </c>
      <c r="P88" s="16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9.5" customHeight="1">
      <c r="A89" s="14" t="s">
        <v>117</v>
      </c>
      <c r="B89" s="6" t="s">
        <v>18</v>
      </c>
      <c r="C89" s="7" t="str">
        <f t="shared" si="23"/>
        <v>CollarB0.9</v>
      </c>
      <c r="D89" s="15" t="s">
        <v>28</v>
      </c>
      <c r="E89" s="16">
        <v>1.0</v>
      </c>
      <c r="F89" s="16"/>
      <c r="G89" s="16"/>
      <c r="H89" s="17" t="s">
        <v>20</v>
      </c>
      <c r="I89" s="18">
        <v>45533.37825231482</v>
      </c>
      <c r="J89" s="18">
        <v>45533.37965277778</v>
      </c>
      <c r="K89" s="19">
        <v>0.007905092592592592</v>
      </c>
      <c r="L89" s="18">
        <f t="shared" si="2"/>
        <v>45533.38616</v>
      </c>
      <c r="M89" s="18">
        <f t="shared" si="3"/>
        <v>45533.38756</v>
      </c>
      <c r="N89" s="13">
        <f t="shared" si="4"/>
        <v>45533.38616</v>
      </c>
      <c r="O89" s="13">
        <f t="shared" si="5"/>
        <v>45533.38756</v>
      </c>
      <c r="P89" s="16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9.5" customHeight="1">
      <c r="A90" s="14" t="s">
        <v>118</v>
      </c>
      <c r="B90" s="6" t="s">
        <v>18</v>
      </c>
      <c r="C90" s="7" t="str">
        <f t="shared" si="23"/>
        <v>CollarC1.0</v>
      </c>
      <c r="D90" s="15" t="s">
        <v>30</v>
      </c>
      <c r="E90" s="16">
        <v>1.0</v>
      </c>
      <c r="F90" s="16"/>
      <c r="G90" s="16"/>
      <c r="H90" s="17" t="s">
        <v>20</v>
      </c>
      <c r="I90" s="18">
        <v>45533.38003472222</v>
      </c>
      <c r="J90" s="18">
        <v>45533.38144675926</v>
      </c>
      <c r="K90" s="19">
        <v>0.007905092592592592</v>
      </c>
      <c r="L90" s="18">
        <f t="shared" si="2"/>
        <v>45533.38794</v>
      </c>
      <c r="M90" s="18">
        <f t="shared" si="3"/>
        <v>45533.38935</v>
      </c>
      <c r="N90" s="13">
        <f t="shared" si="4"/>
        <v>45533.38794</v>
      </c>
      <c r="O90" s="13">
        <f t="shared" si="5"/>
        <v>45533.38935</v>
      </c>
      <c r="P90" s="16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9.5" customHeight="1">
      <c r="A91" s="14" t="s">
        <v>119</v>
      </c>
      <c r="B91" s="6" t="s">
        <v>18</v>
      </c>
      <c r="C91" s="7" t="str">
        <f t="shared" ref="C91:C97" si="24">H91</f>
        <v>TupperwareB</v>
      </c>
      <c r="D91" s="15" t="s">
        <v>32</v>
      </c>
      <c r="E91" s="16">
        <v>2.0</v>
      </c>
      <c r="F91" s="16"/>
      <c r="G91" s="16"/>
      <c r="H91" s="17" t="s">
        <v>33</v>
      </c>
      <c r="I91" s="18">
        <v>45533.38292824074</v>
      </c>
      <c r="J91" s="18">
        <v>45533.3843287037</v>
      </c>
      <c r="K91" s="19">
        <v>0.007905092592592592</v>
      </c>
      <c r="L91" s="18">
        <f t="shared" si="2"/>
        <v>45533.39083</v>
      </c>
      <c r="M91" s="18">
        <f t="shared" si="3"/>
        <v>45533.39223</v>
      </c>
      <c r="N91" s="13">
        <f t="shared" si="4"/>
        <v>45533.39083</v>
      </c>
      <c r="O91" s="13">
        <f t="shared" si="5"/>
        <v>45533.39223</v>
      </c>
      <c r="P91" s="16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9.5" customHeight="1">
      <c r="A92" s="14" t="s">
        <v>120</v>
      </c>
      <c r="B92" s="6" t="s">
        <v>18</v>
      </c>
      <c r="C92" s="7" t="str">
        <f t="shared" si="24"/>
        <v>TupperwareB</v>
      </c>
      <c r="D92" s="15" t="s">
        <v>35</v>
      </c>
      <c r="E92" s="16">
        <v>2.0</v>
      </c>
      <c r="F92" s="16"/>
      <c r="G92" s="16"/>
      <c r="H92" s="17" t="s">
        <v>33</v>
      </c>
      <c r="I92" s="18">
        <v>45533.384791666664</v>
      </c>
      <c r="J92" s="18">
        <v>45533.38622685185</v>
      </c>
      <c r="K92" s="19">
        <v>0.007905092592592592</v>
      </c>
      <c r="L92" s="18">
        <f t="shared" si="2"/>
        <v>45533.3927</v>
      </c>
      <c r="M92" s="18">
        <f t="shared" si="3"/>
        <v>45533.39413</v>
      </c>
      <c r="N92" s="13">
        <f>I92+K92+TIME(0,0,20)</f>
        <v>45533.39293</v>
      </c>
      <c r="O92" s="13">
        <f t="shared" si="5"/>
        <v>45533.39413</v>
      </c>
      <c r="P92" s="16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9.5" customHeight="1">
      <c r="A93" s="14" t="s">
        <v>121</v>
      </c>
      <c r="B93" s="6" t="s">
        <v>18</v>
      </c>
      <c r="C93" s="7" t="str">
        <f t="shared" si="24"/>
        <v>TupperwareB</v>
      </c>
      <c r="D93" s="15" t="s">
        <v>37</v>
      </c>
      <c r="E93" s="16">
        <v>2.0</v>
      </c>
      <c r="F93" s="16"/>
      <c r="G93" s="16"/>
      <c r="H93" s="17" t="s">
        <v>33</v>
      </c>
      <c r="I93" s="18">
        <v>45533.3864699074</v>
      </c>
      <c r="J93" s="18">
        <v>45533.38810185185</v>
      </c>
      <c r="K93" s="19">
        <v>0.007905092592592592</v>
      </c>
      <c r="L93" s="18">
        <f t="shared" si="2"/>
        <v>45533.39438</v>
      </c>
      <c r="M93" s="18">
        <f t="shared" si="3"/>
        <v>45533.39601</v>
      </c>
      <c r="N93" s="13">
        <f t="shared" ref="N93:N105" si="25">I93+K93</f>
        <v>45533.39438</v>
      </c>
      <c r="O93" s="13">
        <f t="shared" si="5"/>
        <v>45533.39601</v>
      </c>
      <c r="P93" s="16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9.5" customHeight="1">
      <c r="A94" s="14" t="s">
        <v>122</v>
      </c>
      <c r="B94" s="6" t="s">
        <v>18</v>
      </c>
      <c r="C94" s="7" t="str">
        <f t="shared" si="24"/>
        <v>TupperwareB</v>
      </c>
      <c r="D94" s="15" t="s">
        <v>39</v>
      </c>
      <c r="E94" s="16">
        <v>3.0</v>
      </c>
      <c r="F94" s="16"/>
      <c r="G94" s="16"/>
      <c r="H94" s="17" t="s">
        <v>33</v>
      </c>
      <c r="I94" s="18">
        <v>45533.38892361111</v>
      </c>
      <c r="J94" s="18">
        <v>45533.390335648146</v>
      </c>
      <c r="K94" s="19">
        <v>0.007905092592592592</v>
      </c>
      <c r="L94" s="18">
        <f t="shared" si="2"/>
        <v>45533.39683</v>
      </c>
      <c r="M94" s="18">
        <f t="shared" si="3"/>
        <v>45533.39824</v>
      </c>
      <c r="N94" s="13">
        <f t="shared" si="25"/>
        <v>45533.39683</v>
      </c>
      <c r="O94" s="13">
        <f t="shared" si="5"/>
        <v>45533.39824</v>
      </c>
      <c r="P94" s="16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9.5" customHeight="1">
      <c r="A95" s="14" t="s">
        <v>123</v>
      </c>
      <c r="B95" s="6" t="s">
        <v>18</v>
      </c>
      <c r="C95" s="7" t="str">
        <f t="shared" si="24"/>
        <v>TupperwareB</v>
      </c>
      <c r="D95" s="15" t="s">
        <v>124</v>
      </c>
      <c r="E95" s="16">
        <v>3.0</v>
      </c>
      <c r="F95" s="16"/>
      <c r="G95" s="16"/>
      <c r="H95" s="17" t="s">
        <v>33</v>
      </c>
      <c r="I95" s="18">
        <v>45533.393900462965</v>
      </c>
      <c r="J95" s="18">
        <v>45533.395416666666</v>
      </c>
      <c r="K95" s="19">
        <v>0.007905092592592592</v>
      </c>
      <c r="L95" s="18">
        <f t="shared" si="2"/>
        <v>45533.40181</v>
      </c>
      <c r="M95" s="18">
        <f t="shared" si="3"/>
        <v>45533.40332</v>
      </c>
      <c r="N95" s="13">
        <f t="shared" si="25"/>
        <v>45533.40181</v>
      </c>
      <c r="O95" s="13">
        <f t="shared" si="5"/>
        <v>45533.40332</v>
      </c>
      <c r="P95" s="16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9.5" customHeight="1">
      <c r="A96" s="14" t="s">
        <v>125</v>
      </c>
      <c r="B96" s="6" t="s">
        <v>18</v>
      </c>
      <c r="C96" s="7" t="str">
        <f t="shared" si="24"/>
        <v>TupperwareB</v>
      </c>
      <c r="D96" s="15" t="s">
        <v>126</v>
      </c>
      <c r="E96" s="16">
        <v>3.0</v>
      </c>
      <c r="F96" s="16"/>
      <c r="G96" s="16"/>
      <c r="H96" s="17" t="s">
        <v>33</v>
      </c>
      <c r="I96" s="18">
        <v>45533.3962962963</v>
      </c>
      <c r="J96" s="18">
        <v>45533.397685185184</v>
      </c>
      <c r="K96" s="19">
        <v>0.007905092592592592</v>
      </c>
      <c r="L96" s="18">
        <f t="shared" si="2"/>
        <v>45533.4042</v>
      </c>
      <c r="M96" s="18">
        <f t="shared" si="3"/>
        <v>45533.40559</v>
      </c>
      <c r="N96" s="13">
        <f t="shared" si="25"/>
        <v>45533.4042</v>
      </c>
      <c r="O96" s="13">
        <f t="shared" si="5"/>
        <v>45533.40559</v>
      </c>
      <c r="P96" s="16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9.5" customHeight="1">
      <c r="A97" s="14" t="s">
        <v>127</v>
      </c>
      <c r="B97" s="6" t="s">
        <v>18</v>
      </c>
      <c r="C97" s="7" t="str">
        <f t="shared" si="24"/>
        <v>TupperwareB</v>
      </c>
      <c r="D97" s="15" t="s">
        <v>128</v>
      </c>
      <c r="E97" s="16">
        <v>3.6</v>
      </c>
      <c r="F97" s="16"/>
      <c r="G97" s="16"/>
      <c r="H97" s="17" t="s">
        <v>33</v>
      </c>
      <c r="I97" s="18">
        <v>45533.399363425924</v>
      </c>
      <c r="J97" s="18">
        <v>45533.400775462964</v>
      </c>
      <c r="K97" s="19">
        <v>0.007905092592592592</v>
      </c>
      <c r="L97" s="18">
        <f t="shared" si="2"/>
        <v>45533.40727</v>
      </c>
      <c r="M97" s="18">
        <f t="shared" si="3"/>
        <v>45533.40868</v>
      </c>
      <c r="N97" s="13">
        <f t="shared" si="25"/>
        <v>45533.40727</v>
      </c>
      <c r="O97" s="13">
        <f t="shared" si="5"/>
        <v>45533.40868</v>
      </c>
      <c r="P97" s="16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9.5" customHeight="1">
      <c r="A98" s="14" t="s">
        <v>129</v>
      </c>
      <c r="B98" s="6" t="s">
        <v>18</v>
      </c>
      <c r="C98" s="7" t="str">
        <f t="shared" ref="C98:C103" si="26">CONCATENATE(H98,D98)</f>
        <v>CollarA0.32</v>
      </c>
      <c r="D98" s="15" t="s">
        <v>19</v>
      </c>
      <c r="E98" s="16">
        <v>0.25</v>
      </c>
      <c r="F98" s="16"/>
      <c r="G98" s="16"/>
      <c r="H98" s="17" t="s">
        <v>20</v>
      </c>
      <c r="I98" s="18">
        <v>45533.4956712963</v>
      </c>
      <c r="J98" s="18">
        <v>45533.497465277775</v>
      </c>
      <c r="K98" s="19">
        <v>0.007905092592592592</v>
      </c>
      <c r="L98" s="18">
        <f t="shared" si="2"/>
        <v>45533.50358</v>
      </c>
      <c r="M98" s="18">
        <f t="shared" si="3"/>
        <v>45533.50537</v>
      </c>
      <c r="N98" s="13">
        <f t="shared" si="25"/>
        <v>45533.50358</v>
      </c>
      <c r="O98" s="13">
        <f t="shared" si="5"/>
        <v>45533.50537</v>
      </c>
      <c r="P98" s="16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9.5" customHeight="1">
      <c r="A99" s="14" t="s">
        <v>130</v>
      </c>
      <c r="B99" s="6" t="s">
        <v>18</v>
      </c>
      <c r="C99" s="7" t="str">
        <f t="shared" si="26"/>
        <v>CollarB0.25</v>
      </c>
      <c r="D99" s="15" t="s">
        <v>22</v>
      </c>
      <c r="E99" s="16">
        <v>0.25</v>
      </c>
      <c r="F99" s="16"/>
      <c r="G99" s="16"/>
      <c r="H99" s="17" t="s">
        <v>20</v>
      </c>
      <c r="I99" s="18">
        <v>45533.49283564815</v>
      </c>
      <c r="J99" s="18">
        <v>45533.494259259256</v>
      </c>
      <c r="K99" s="19">
        <v>0.007905092592592592</v>
      </c>
      <c r="L99" s="18">
        <f t="shared" si="2"/>
        <v>45533.50074</v>
      </c>
      <c r="M99" s="18">
        <f t="shared" si="3"/>
        <v>45533.50216</v>
      </c>
      <c r="N99" s="13">
        <f t="shared" si="25"/>
        <v>45533.50074</v>
      </c>
      <c r="O99" s="13">
        <f t="shared" si="5"/>
        <v>45533.50216</v>
      </c>
      <c r="P99" s="16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9.5" customHeight="1">
      <c r="A100" s="14" t="s">
        <v>131</v>
      </c>
      <c r="B100" s="6" t="s">
        <v>18</v>
      </c>
      <c r="C100" s="7" t="str">
        <f t="shared" si="26"/>
        <v>CollarC0.35</v>
      </c>
      <c r="D100" s="15" t="s">
        <v>24</v>
      </c>
      <c r="E100" s="16">
        <v>0.25</v>
      </c>
      <c r="F100" s="16"/>
      <c r="G100" s="16"/>
      <c r="H100" s="17" t="s">
        <v>20</v>
      </c>
      <c r="I100" s="18">
        <v>45533.490902777776</v>
      </c>
      <c r="J100" s="18">
        <v>45533.49234953704</v>
      </c>
      <c r="K100" s="19">
        <v>0.007905092592592592</v>
      </c>
      <c r="L100" s="18">
        <f t="shared" si="2"/>
        <v>45533.49881</v>
      </c>
      <c r="M100" s="18">
        <f t="shared" si="3"/>
        <v>45533.50025</v>
      </c>
      <c r="N100" s="13">
        <f t="shared" si="25"/>
        <v>45533.49881</v>
      </c>
      <c r="O100" s="13">
        <f t="shared" si="5"/>
        <v>45533.50025</v>
      </c>
      <c r="P100" s="16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9.5" customHeight="1">
      <c r="A101" s="14" t="s">
        <v>132</v>
      </c>
      <c r="B101" s="6" t="s">
        <v>18</v>
      </c>
      <c r="C101" s="7" t="str">
        <f t="shared" si="26"/>
        <v>CollarA1.0</v>
      </c>
      <c r="D101" s="15" t="s">
        <v>26</v>
      </c>
      <c r="E101" s="16">
        <v>1.0</v>
      </c>
      <c r="F101" s="16"/>
      <c r="G101" s="16"/>
      <c r="H101" s="17" t="s">
        <v>20</v>
      </c>
      <c r="I101" s="18">
        <v>45533.47898148148</v>
      </c>
      <c r="J101" s="18">
        <v>45533.481041666666</v>
      </c>
      <c r="K101" s="19">
        <v>0.007905092592592592</v>
      </c>
      <c r="L101" s="18">
        <f t="shared" si="2"/>
        <v>45533.48689</v>
      </c>
      <c r="M101" s="18">
        <f t="shared" si="3"/>
        <v>45533.48895</v>
      </c>
      <c r="N101" s="13">
        <f t="shared" si="25"/>
        <v>45533.48689</v>
      </c>
      <c r="O101" s="13">
        <f t="shared" si="5"/>
        <v>45533.48895</v>
      </c>
      <c r="P101" s="16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9.5" customHeight="1">
      <c r="A102" s="14" t="s">
        <v>133</v>
      </c>
      <c r="B102" s="6" t="s">
        <v>18</v>
      </c>
      <c r="C102" s="7" t="str">
        <f t="shared" si="26"/>
        <v>CollarB0.9</v>
      </c>
      <c r="D102" s="15" t="s">
        <v>28</v>
      </c>
      <c r="E102" s="16">
        <v>1.0</v>
      </c>
      <c r="F102" s="16"/>
      <c r="G102" s="16"/>
      <c r="H102" s="17" t="s">
        <v>20</v>
      </c>
      <c r="I102" s="18">
        <v>45533.483611111114</v>
      </c>
      <c r="J102" s="18">
        <v>45533.48501157408</v>
      </c>
      <c r="K102" s="19">
        <v>0.007905092592592592</v>
      </c>
      <c r="L102" s="18">
        <f t="shared" si="2"/>
        <v>45533.49152</v>
      </c>
      <c r="M102" s="18">
        <f t="shared" si="3"/>
        <v>45533.49292</v>
      </c>
      <c r="N102" s="13">
        <f t="shared" si="25"/>
        <v>45533.49152</v>
      </c>
      <c r="O102" s="13">
        <f t="shared" si="5"/>
        <v>45533.49292</v>
      </c>
      <c r="P102" s="16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9.5" customHeight="1">
      <c r="A103" s="14" t="s">
        <v>134</v>
      </c>
      <c r="B103" s="6" t="s">
        <v>18</v>
      </c>
      <c r="C103" s="7" t="str">
        <f t="shared" si="26"/>
        <v>CollarC1.0</v>
      </c>
      <c r="D103" s="15" t="s">
        <v>30</v>
      </c>
      <c r="E103" s="16">
        <v>1.0</v>
      </c>
      <c r="F103" s="16"/>
      <c r="G103" s="16"/>
      <c r="H103" s="17" t="s">
        <v>20</v>
      </c>
      <c r="I103" s="18">
        <v>45533.48835648148</v>
      </c>
      <c r="J103" s="18">
        <v>45533.489756944444</v>
      </c>
      <c r="K103" s="19">
        <v>0.007905092592592592</v>
      </c>
      <c r="L103" s="18">
        <f t="shared" si="2"/>
        <v>45533.49626</v>
      </c>
      <c r="M103" s="18">
        <f t="shared" si="3"/>
        <v>45533.49766</v>
      </c>
      <c r="N103" s="13">
        <f t="shared" si="25"/>
        <v>45533.49626</v>
      </c>
      <c r="O103" s="13">
        <f t="shared" si="5"/>
        <v>45533.49766</v>
      </c>
      <c r="P103" s="16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9.5" customHeight="1">
      <c r="A104" s="14" t="s">
        <v>135</v>
      </c>
      <c r="B104" s="6" t="s">
        <v>18</v>
      </c>
      <c r="C104" s="7" t="str">
        <f t="shared" ref="C104:C107" si="27">H104</f>
        <v>TupperwareB</v>
      </c>
      <c r="D104" s="15" t="s">
        <v>32</v>
      </c>
      <c r="E104" s="16">
        <v>2.0</v>
      </c>
      <c r="F104" s="16"/>
      <c r="G104" s="16"/>
      <c r="H104" s="17" t="s">
        <v>33</v>
      </c>
      <c r="I104" s="18">
        <v>45533.50038194445</v>
      </c>
      <c r="J104" s="18">
        <v>45533.50173611111</v>
      </c>
      <c r="K104" s="19">
        <v>0.007905092592592592</v>
      </c>
      <c r="L104" s="18">
        <f t="shared" si="2"/>
        <v>45533.50829</v>
      </c>
      <c r="M104" s="18">
        <f t="shared" si="3"/>
        <v>45533.50964</v>
      </c>
      <c r="N104" s="13">
        <f t="shared" si="25"/>
        <v>45533.50829</v>
      </c>
      <c r="O104" s="13">
        <f t="shared" si="5"/>
        <v>45533.50964</v>
      </c>
      <c r="P104" s="16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9.5" customHeight="1">
      <c r="A105" s="14" t="s">
        <v>136</v>
      </c>
      <c r="B105" s="6" t="s">
        <v>18</v>
      </c>
      <c r="C105" s="7" t="str">
        <f t="shared" si="27"/>
        <v>TupperwareB</v>
      </c>
      <c r="D105" s="15" t="s">
        <v>35</v>
      </c>
      <c r="E105" s="16">
        <v>1.0</v>
      </c>
      <c r="F105" s="16"/>
      <c r="G105" s="16"/>
      <c r="H105" s="17" t="s">
        <v>33</v>
      </c>
      <c r="I105" s="18">
        <v>45533.50251157407</v>
      </c>
      <c r="J105" s="18">
        <v>45533.503912037035</v>
      </c>
      <c r="K105" s="19">
        <v>0.007905092592592592</v>
      </c>
      <c r="L105" s="18">
        <f t="shared" si="2"/>
        <v>45533.51042</v>
      </c>
      <c r="M105" s="18">
        <f t="shared" si="3"/>
        <v>45533.51182</v>
      </c>
      <c r="N105" s="13">
        <f t="shared" si="25"/>
        <v>45533.51042</v>
      </c>
      <c r="O105" s="13">
        <f t="shared" si="5"/>
        <v>45533.51182</v>
      </c>
      <c r="P105" s="16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9.5" customHeight="1">
      <c r="A106" s="14" t="s">
        <v>137</v>
      </c>
      <c r="B106" s="6" t="s">
        <v>18</v>
      </c>
      <c r="C106" s="7" t="str">
        <f t="shared" si="27"/>
        <v>TupperwareB</v>
      </c>
      <c r="D106" s="15" t="s">
        <v>37</v>
      </c>
      <c r="E106" s="16">
        <v>1.0</v>
      </c>
      <c r="F106" s="16"/>
      <c r="G106" s="16"/>
      <c r="H106" s="17" t="s">
        <v>33</v>
      </c>
      <c r="I106" s="18">
        <v>45533.50607638889</v>
      </c>
      <c r="J106" s="18">
        <v>45533.50760416667</v>
      </c>
      <c r="K106" s="19">
        <v>0.007905092592592592</v>
      </c>
      <c r="L106" s="18">
        <f t="shared" si="2"/>
        <v>45533.51398</v>
      </c>
      <c r="M106" s="18">
        <f t="shared" si="3"/>
        <v>45533.51551</v>
      </c>
      <c r="N106" s="13">
        <f>I106+K106-TIME(0,0,20)</f>
        <v>45533.51375</v>
      </c>
      <c r="O106" s="13">
        <f>J106+K106-TIME(0,0,20)</f>
        <v>45533.51528</v>
      </c>
      <c r="P106" s="16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9.5" customHeight="1">
      <c r="A107" s="14" t="s">
        <v>138</v>
      </c>
      <c r="B107" s="6" t="s">
        <v>18</v>
      </c>
      <c r="C107" s="7" t="str">
        <f t="shared" si="27"/>
        <v>TupperwareB</v>
      </c>
      <c r="D107" s="15" t="s">
        <v>39</v>
      </c>
      <c r="E107" s="16">
        <v>3.0</v>
      </c>
      <c r="F107" s="16"/>
      <c r="G107" s="16"/>
      <c r="H107" s="17" t="s">
        <v>33</v>
      </c>
      <c r="I107" s="18">
        <v>45533.508206018516</v>
      </c>
      <c r="J107" s="18">
        <v>45533.50962962963</v>
      </c>
      <c r="K107" s="19">
        <v>0.007905092592592592</v>
      </c>
      <c r="L107" s="18">
        <f t="shared" si="2"/>
        <v>45533.51611</v>
      </c>
      <c r="M107" s="18">
        <f t="shared" si="3"/>
        <v>45533.51753</v>
      </c>
      <c r="N107" s="13">
        <f>I107+K107</f>
        <v>45533.51611</v>
      </c>
      <c r="O107" s="13">
        <f>J107+K107</f>
        <v>45533.51753</v>
      </c>
      <c r="P107" s="16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0"/>
      <c r="O108" s="2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0"/>
      <c r="O109" s="2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0"/>
      <c r="O110" s="2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0"/>
      <c r="O111" s="2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0"/>
      <c r="O112" s="2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0"/>
      <c r="O113" s="2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0"/>
      <c r="O114" s="2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0"/>
      <c r="O115" s="2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0"/>
      <c r="O116" s="2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0"/>
      <c r="O117" s="2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0"/>
      <c r="O118" s="2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0"/>
      <c r="O119" s="2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0"/>
      <c r="O120" s="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0"/>
      <c r="O121" s="2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0"/>
      <c r="O122" s="2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0"/>
      <c r="O123" s="2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0"/>
      <c r="O124" s="2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0"/>
      <c r="O125" s="2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0"/>
      <c r="O126" s="2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0"/>
      <c r="O127" s="2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0"/>
      <c r="O128" s="2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0"/>
      <c r="O129" s="2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0"/>
      <c r="O130" s="2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0"/>
      <c r="O131" s="2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0"/>
      <c r="O132" s="2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0"/>
      <c r="O133" s="2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0"/>
      <c r="O134" s="2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0"/>
      <c r="O135" s="2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0"/>
      <c r="O136" s="2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0"/>
      <c r="O137" s="2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0"/>
      <c r="O138" s="2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0"/>
      <c r="O139" s="2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0"/>
      <c r="O140" s="2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0"/>
      <c r="O141" s="2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0"/>
      <c r="O142" s="2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0"/>
      <c r="O143" s="2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0"/>
      <c r="O144" s="2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0"/>
      <c r="O145" s="2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0"/>
      <c r="O146" s="2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0"/>
      <c r="O147" s="2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0"/>
      <c r="O148" s="2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0"/>
      <c r="O149" s="2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0"/>
      <c r="O150" s="2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0"/>
      <c r="O151" s="2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0"/>
      <c r="O152" s="2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0"/>
      <c r="O153" s="2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0"/>
      <c r="O154" s="2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0"/>
      <c r="O155" s="2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0"/>
      <c r="O156" s="2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0"/>
      <c r="O157" s="2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0"/>
      <c r="O158" s="2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0"/>
      <c r="O159" s="2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0"/>
      <c r="O160" s="2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0"/>
      <c r="O161" s="2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0"/>
      <c r="O162" s="2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0"/>
      <c r="O163" s="2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0"/>
      <c r="O164" s="2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0"/>
      <c r="O165" s="2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0"/>
      <c r="O166" s="2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0"/>
      <c r="O167" s="2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0"/>
      <c r="O168" s="2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0"/>
      <c r="O169" s="2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0"/>
      <c r="O170" s="2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0"/>
      <c r="O171" s="2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0"/>
      <c r="O172" s="2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0"/>
      <c r="O173" s="2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0"/>
      <c r="O174" s="2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0"/>
      <c r="O175" s="2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0"/>
      <c r="O176" s="2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0"/>
      <c r="O177" s="2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0"/>
      <c r="O178" s="2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0"/>
      <c r="O179" s="2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0"/>
      <c r="O180" s="2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0"/>
      <c r="O181" s="2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0"/>
      <c r="O182" s="2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"/>
      <c r="O183" s="2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0"/>
      <c r="O184" s="2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0"/>
      <c r="O185" s="2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0"/>
      <c r="O186" s="2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0"/>
      <c r="O187" s="2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0"/>
      <c r="O188" s="2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0"/>
      <c r="O189" s="2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0"/>
      <c r="O190" s="2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0"/>
      <c r="O191" s="2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0"/>
      <c r="O192" s="2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0"/>
      <c r="O193" s="2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0"/>
      <c r="O194" s="2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0"/>
      <c r="O195" s="2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0"/>
      <c r="O196" s="2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0"/>
      <c r="O197" s="2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0"/>
      <c r="O198" s="2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0"/>
      <c r="O199" s="2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0"/>
      <c r="O200" s="2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0"/>
      <c r="O201" s="2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0"/>
      <c r="O202" s="2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0"/>
      <c r="O203" s="2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0"/>
      <c r="O204" s="2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0"/>
      <c r="O205" s="2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0"/>
      <c r="O206" s="2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0"/>
      <c r="O207" s="2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0"/>
      <c r="O208" s="2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0"/>
      <c r="O209" s="2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0"/>
      <c r="O210" s="2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0"/>
      <c r="O211" s="2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0"/>
      <c r="O212" s="2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0"/>
      <c r="O213" s="2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0"/>
      <c r="O214" s="2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0"/>
      <c r="O215" s="2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0"/>
      <c r="O216" s="2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0"/>
      <c r="O217" s="2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0"/>
      <c r="O218" s="2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0"/>
      <c r="O219" s="2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0"/>
      <c r="O220" s="2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0"/>
      <c r="O221" s="2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0"/>
      <c r="O222" s="2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0"/>
      <c r="O223" s="2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0"/>
      <c r="O224" s="2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0"/>
      <c r="O225" s="2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0"/>
      <c r="O226" s="2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0"/>
      <c r="O227" s="2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0"/>
      <c r="O228" s="2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0"/>
      <c r="O229" s="2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0"/>
      <c r="O230" s="2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0"/>
      <c r="O231" s="2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0"/>
      <c r="O232" s="2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0"/>
      <c r="O233" s="2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0"/>
      <c r="O234" s="2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0"/>
      <c r="O235" s="2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0"/>
      <c r="O236" s="2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0"/>
      <c r="O237" s="2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0"/>
      <c r="O238" s="2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0"/>
      <c r="O239" s="2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0"/>
      <c r="O240" s="2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0"/>
      <c r="O241" s="2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0"/>
      <c r="O242" s="2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0"/>
      <c r="O243" s="2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0"/>
      <c r="O244" s="2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0"/>
      <c r="O245" s="2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0"/>
      <c r="O246" s="2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0"/>
      <c r="O247" s="2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0"/>
      <c r="O248" s="2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0"/>
      <c r="O249" s="2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0"/>
      <c r="O250" s="2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0"/>
      <c r="O251" s="2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0"/>
      <c r="O252" s="2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0"/>
      <c r="O253" s="2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0"/>
      <c r="O254" s="2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0"/>
      <c r="O255" s="2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0"/>
      <c r="O256" s="2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0"/>
      <c r="O257" s="2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0"/>
      <c r="O258" s="2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0"/>
      <c r="O259" s="2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0"/>
      <c r="O260" s="2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0"/>
      <c r="O261" s="2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0"/>
      <c r="O262" s="2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0"/>
      <c r="O263" s="2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0"/>
      <c r="O264" s="2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0"/>
      <c r="O265" s="2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0"/>
      <c r="O266" s="2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0"/>
      <c r="O267" s="2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0"/>
      <c r="O268" s="2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0"/>
      <c r="O269" s="2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0"/>
      <c r="O270" s="2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0"/>
      <c r="O271" s="2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0"/>
      <c r="O272" s="2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0"/>
      <c r="O273" s="2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0"/>
      <c r="O274" s="2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0"/>
      <c r="O275" s="2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0"/>
      <c r="O276" s="2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0"/>
      <c r="O277" s="2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0"/>
      <c r="O278" s="2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0"/>
      <c r="O279" s="2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0"/>
      <c r="O280" s="2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0"/>
      <c r="O281" s="2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0"/>
      <c r="O282" s="2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0"/>
      <c r="O283" s="2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0"/>
      <c r="O284" s="2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0"/>
      <c r="O285" s="2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0"/>
      <c r="O286" s="2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0"/>
      <c r="O287" s="2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0"/>
      <c r="O288" s="2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0"/>
      <c r="O289" s="2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0"/>
      <c r="O290" s="2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0"/>
      <c r="O291" s="2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0"/>
      <c r="O292" s="2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0"/>
      <c r="O293" s="2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0"/>
      <c r="O294" s="2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0"/>
      <c r="O295" s="2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0"/>
      <c r="O296" s="2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0"/>
      <c r="O297" s="2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0"/>
      <c r="O298" s="2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0"/>
      <c r="O299" s="2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0"/>
      <c r="O300" s="2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0"/>
      <c r="O301" s="2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0"/>
      <c r="O302" s="2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0"/>
      <c r="O303" s="2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0"/>
      <c r="O304" s="2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0"/>
      <c r="O305" s="2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0"/>
      <c r="O306" s="2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0"/>
      <c r="O307" s="2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0"/>
      <c r="O308" s="2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0"/>
      <c r="O309" s="2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0"/>
      <c r="O310" s="2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0"/>
      <c r="O311" s="2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0"/>
      <c r="O312" s="2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0"/>
      <c r="O313" s="2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0"/>
      <c r="O314" s="2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0"/>
      <c r="O315" s="2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0"/>
      <c r="O316" s="2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0"/>
      <c r="O317" s="2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0"/>
      <c r="O318" s="2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0"/>
      <c r="O319" s="2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0"/>
      <c r="O320" s="2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0"/>
      <c r="O321" s="2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0"/>
      <c r="O322" s="2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0"/>
      <c r="O323" s="2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0"/>
      <c r="O324" s="2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0"/>
      <c r="O325" s="2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0"/>
      <c r="O326" s="2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0"/>
      <c r="O327" s="2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0"/>
      <c r="O328" s="2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0"/>
      <c r="O329" s="2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0"/>
      <c r="O330" s="2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0"/>
      <c r="O331" s="2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0"/>
      <c r="O332" s="2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0"/>
      <c r="O333" s="2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0"/>
      <c r="O334" s="2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0"/>
      <c r="O335" s="2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0"/>
      <c r="O336" s="2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0"/>
      <c r="O337" s="2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0"/>
      <c r="O338" s="2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0"/>
      <c r="O339" s="2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0"/>
      <c r="O340" s="2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0"/>
      <c r="O341" s="2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0"/>
      <c r="O342" s="2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0"/>
      <c r="O343" s="2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0"/>
      <c r="O344" s="2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0"/>
      <c r="O345" s="2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0"/>
      <c r="O346" s="2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0"/>
      <c r="O347" s="2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0"/>
      <c r="O348" s="2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0"/>
      <c r="O349" s="2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0"/>
      <c r="O350" s="2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0"/>
      <c r="O351" s="2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0"/>
      <c r="O352" s="2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0"/>
      <c r="O353" s="2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0"/>
      <c r="O354" s="2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0"/>
      <c r="O355" s="2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0"/>
      <c r="O356" s="2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0"/>
      <c r="O357" s="2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0"/>
      <c r="O358" s="2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0"/>
      <c r="O359" s="2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0"/>
      <c r="O360" s="2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0"/>
      <c r="O361" s="2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0"/>
      <c r="O362" s="2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0"/>
      <c r="O363" s="2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0"/>
      <c r="O364" s="2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0"/>
      <c r="O365" s="2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0"/>
      <c r="O366" s="2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0"/>
      <c r="O367" s="2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0"/>
      <c r="O368" s="2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0"/>
      <c r="O369" s="2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0"/>
      <c r="O370" s="2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0"/>
      <c r="O371" s="2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0"/>
      <c r="O372" s="2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0"/>
      <c r="O373" s="2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0"/>
      <c r="O374" s="2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0"/>
      <c r="O375" s="2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0"/>
      <c r="O376" s="2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0"/>
      <c r="O377" s="2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0"/>
      <c r="O378" s="2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0"/>
      <c r="O379" s="2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0"/>
      <c r="O380" s="2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0"/>
      <c r="O381" s="2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0"/>
      <c r="O382" s="2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0"/>
      <c r="O383" s="2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0"/>
      <c r="O384" s="2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0"/>
      <c r="O385" s="2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0"/>
      <c r="O386" s="2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0"/>
      <c r="O387" s="2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0"/>
      <c r="O388" s="2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0"/>
      <c r="O389" s="2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0"/>
      <c r="O390" s="2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0"/>
      <c r="O391" s="2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0"/>
      <c r="O392" s="2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0"/>
      <c r="O393" s="2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0"/>
      <c r="O394" s="2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0"/>
      <c r="O395" s="2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0"/>
      <c r="O396" s="2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0"/>
      <c r="O397" s="2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0"/>
      <c r="O398" s="2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0"/>
      <c r="O399" s="2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0"/>
      <c r="O400" s="2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0"/>
      <c r="O401" s="2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0"/>
      <c r="O402" s="2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0"/>
      <c r="O403" s="2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0"/>
      <c r="O404" s="2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0"/>
      <c r="O405" s="2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0"/>
      <c r="O406" s="2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0"/>
      <c r="O407" s="2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0"/>
      <c r="O408" s="2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0"/>
      <c r="O409" s="2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0"/>
      <c r="O410" s="2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0"/>
      <c r="O411" s="2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0"/>
      <c r="O412" s="2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0"/>
      <c r="O413" s="2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0"/>
      <c r="O414" s="2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0"/>
      <c r="O415" s="2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0"/>
      <c r="O416" s="2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0"/>
      <c r="O417" s="2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0"/>
      <c r="O418" s="2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0"/>
      <c r="O419" s="2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0"/>
      <c r="O420" s="2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0"/>
      <c r="O421" s="2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0"/>
      <c r="O422" s="2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0"/>
      <c r="O423" s="2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0"/>
      <c r="O424" s="2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0"/>
      <c r="O425" s="2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0"/>
      <c r="O426" s="2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0"/>
      <c r="O427" s="2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0"/>
      <c r="O428" s="2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0"/>
      <c r="O429" s="2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0"/>
      <c r="O430" s="2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0"/>
      <c r="O431" s="2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0"/>
      <c r="O432" s="2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0"/>
      <c r="O433" s="2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0"/>
      <c r="O434" s="2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0"/>
      <c r="O435" s="2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0"/>
      <c r="O436" s="2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0"/>
      <c r="O437" s="2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0"/>
      <c r="O438" s="2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0"/>
      <c r="O439" s="2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0"/>
      <c r="O440" s="2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0"/>
      <c r="O441" s="2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0"/>
      <c r="O442" s="2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0"/>
      <c r="O443" s="2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0"/>
      <c r="O444" s="2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0"/>
      <c r="O445" s="2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0"/>
      <c r="O446" s="2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0"/>
      <c r="O447" s="2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0"/>
      <c r="O448" s="2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0"/>
      <c r="O449" s="2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0"/>
      <c r="O450" s="2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0"/>
      <c r="O451" s="2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0"/>
      <c r="O452" s="2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0"/>
      <c r="O453" s="2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0"/>
      <c r="O454" s="2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0"/>
      <c r="O455" s="2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0"/>
      <c r="O456" s="2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0"/>
      <c r="O457" s="2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0"/>
      <c r="O458" s="2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0"/>
      <c r="O459" s="2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0"/>
      <c r="O460" s="2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0"/>
      <c r="O461" s="2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0"/>
      <c r="O462" s="2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0"/>
      <c r="O463" s="2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0"/>
      <c r="O464" s="2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0"/>
      <c r="O465" s="2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0"/>
      <c r="O466" s="2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0"/>
      <c r="O467" s="2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0"/>
      <c r="O468" s="2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0"/>
      <c r="O469" s="2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0"/>
      <c r="O470" s="2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0"/>
      <c r="O471" s="2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0"/>
      <c r="O472" s="2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0"/>
      <c r="O473" s="2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0"/>
      <c r="O474" s="2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0"/>
      <c r="O475" s="2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0"/>
      <c r="O476" s="2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0"/>
      <c r="O477" s="2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0"/>
      <c r="O478" s="2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0"/>
      <c r="O479" s="2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0"/>
      <c r="O480" s="2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0"/>
      <c r="O481" s="2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0"/>
      <c r="O482" s="2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0"/>
      <c r="O483" s="2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0"/>
      <c r="O484" s="2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0"/>
      <c r="O485" s="2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0"/>
      <c r="O486" s="2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0"/>
      <c r="O487" s="2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0"/>
      <c r="O488" s="2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0"/>
      <c r="O489" s="2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0"/>
      <c r="O490" s="2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0"/>
      <c r="O491" s="2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0"/>
      <c r="O492" s="2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0"/>
      <c r="O493" s="2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0"/>
      <c r="O494" s="2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0"/>
      <c r="O495" s="2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0"/>
      <c r="O496" s="2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0"/>
      <c r="O497" s="2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0"/>
      <c r="O498" s="2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0"/>
      <c r="O499" s="2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0"/>
      <c r="O500" s="2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0"/>
      <c r="O501" s="2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0"/>
      <c r="O502" s="2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0"/>
      <c r="O503" s="2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0"/>
      <c r="O504" s="2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0"/>
      <c r="O505" s="2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0"/>
      <c r="O506" s="2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0"/>
      <c r="O507" s="2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0"/>
      <c r="O508" s="2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0"/>
      <c r="O509" s="2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0"/>
      <c r="O510" s="2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0"/>
      <c r="O511" s="2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0"/>
      <c r="O512" s="2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0"/>
      <c r="O513" s="2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0"/>
      <c r="O514" s="2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0"/>
      <c r="O515" s="2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0"/>
      <c r="O516" s="2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0"/>
      <c r="O517" s="2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0"/>
      <c r="O518" s="2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0"/>
      <c r="O519" s="2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0"/>
      <c r="O520" s="2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0"/>
      <c r="O521" s="2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0"/>
      <c r="O522" s="2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0"/>
      <c r="O523" s="2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0"/>
      <c r="O524" s="2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0"/>
      <c r="O525" s="2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0"/>
      <c r="O526" s="2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0"/>
      <c r="O527" s="2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0"/>
      <c r="O528" s="2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0"/>
      <c r="O529" s="2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0"/>
      <c r="O530" s="2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0"/>
      <c r="O531" s="2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0"/>
      <c r="O532" s="2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0"/>
      <c r="O533" s="2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0"/>
      <c r="O534" s="2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0"/>
      <c r="O535" s="2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0"/>
      <c r="O536" s="2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0"/>
      <c r="O537" s="2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0"/>
      <c r="O538" s="2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0"/>
      <c r="O539" s="2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0"/>
      <c r="O540" s="2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0"/>
      <c r="O541" s="2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0"/>
      <c r="O542" s="2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0"/>
      <c r="O543" s="2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0"/>
      <c r="O544" s="2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0"/>
      <c r="O545" s="2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0"/>
      <c r="O546" s="2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0"/>
      <c r="O547" s="2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0"/>
      <c r="O548" s="2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0"/>
      <c r="O549" s="2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0"/>
      <c r="O550" s="2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0"/>
      <c r="O551" s="2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0"/>
      <c r="O552" s="2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0"/>
      <c r="O553" s="2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0"/>
      <c r="O554" s="2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0"/>
      <c r="O555" s="2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0"/>
      <c r="O556" s="2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0"/>
      <c r="O557" s="2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0"/>
      <c r="O558" s="2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0"/>
      <c r="O559" s="2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0"/>
      <c r="O560" s="2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0"/>
      <c r="O561" s="2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0"/>
      <c r="O562" s="2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0"/>
      <c r="O563" s="2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0"/>
      <c r="O564" s="2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0"/>
      <c r="O565" s="2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0"/>
      <c r="O566" s="2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0"/>
      <c r="O567" s="2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0"/>
      <c r="O568" s="2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0"/>
      <c r="O569" s="2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0"/>
      <c r="O570" s="2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0"/>
      <c r="O571" s="2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0"/>
      <c r="O572" s="2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0"/>
      <c r="O573" s="2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0"/>
      <c r="O574" s="2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0"/>
      <c r="O575" s="2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0"/>
      <c r="O576" s="2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0"/>
      <c r="O577" s="2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0"/>
      <c r="O578" s="2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0"/>
      <c r="O579" s="2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0"/>
      <c r="O580" s="2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0"/>
      <c r="O581" s="2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0"/>
      <c r="O582" s="2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0"/>
      <c r="O583" s="2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0"/>
      <c r="O584" s="2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0"/>
      <c r="O585" s="2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0"/>
      <c r="O586" s="2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0"/>
      <c r="O587" s="2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0"/>
      <c r="O588" s="2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0"/>
      <c r="O589" s="2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0"/>
      <c r="O590" s="2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0"/>
      <c r="O591" s="2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0"/>
      <c r="O592" s="2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0"/>
      <c r="O593" s="2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0"/>
      <c r="O594" s="2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0"/>
      <c r="O595" s="2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0"/>
      <c r="O596" s="2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0"/>
      <c r="O597" s="2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0"/>
      <c r="O598" s="2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0"/>
      <c r="O599" s="2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0"/>
      <c r="O600" s="2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0"/>
      <c r="O601" s="2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0"/>
      <c r="O602" s="2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0"/>
      <c r="O603" s="2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0"/>
      <c r="O604" s="2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0"/>
      <c r="O605" s="2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0"/>
      <c r="O606" s="2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0"/>
      <c r="O607" s="2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0"/>
      <c r="O608" s="2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0"/>
      <c r="O609" s="2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0"/>
      <c r="O610" s="2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0"/>
      <c r="O611" s="2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0"/>
      <c r="O612" s="2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0"/>
      <c r="O613" s="2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0"/>
      <c r="O614" s="2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0"/>
      <c r="O615" s="2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0"/>
      <c r="O616" s="2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0"/>
      <c r="O617" s="2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0"/>
      <c r="O618" s="2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0"/>
      <c r="O619" s="2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0"/>
      <c r="O620" s="2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0"/>
      <c r="O621" s="2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0"/>
      <c r="O622" s="2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0"/>
      <c r="O623" s="2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0"/>
      <c r="O624" s="2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0"/>
      <c r="O625" s="2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0"/>
      <c r="O626" s="2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0"/>
      <c r="O627" s="2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0"/>
      <c r="O628" s="2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0"/>
      <c r="O629" s="2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0"/>
      <c r="O630" s="2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0"/>
      <c r="O631" s="2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0"/>
      <c r="O632" s="2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0"/>
      <c r="O633" s="2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0"/>
      <c r="O634" s="2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0"/>
      <c r="O635" s="2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0"/>
      <c r="O636" s="2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0"/>
      <c r="O637" s="2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0"/>
      <c r="O638" s="2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0"/>
      <c r="O639" s="2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0"/>
      <c r="O640" s="2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0"/>
      <c r="O641" s="2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0"/>
      <c r="O642" s="2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0"/>
      <c r="O643" s="2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0"/>
      <c r="O644" s="2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0"/>
      <c r="O645" s="2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0"/>
      <c r="O646" s="2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0"/>
      <c r="O647" s="2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0"/>
      <c r="O648" s="2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0"/>
      <c r="O649" s="2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0"/>
      <c r="O650" s="2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0"/>
      <c r="O651" s="2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0"/>
      <c r="O652" s="2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0"/>
      <c r="O653" s="2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0"/>
      <c r="O654" s="2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0"/>
      <c r="O655" s="2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0"/>
      <c r="O656" s="2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0"/>
      <c r="O657" s="2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0"/>
      <c r="O658" s="2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0"/>
      <c r="O659" s="2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0"/>
      <c r="O660" s="2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0"/>
      <c r="O661" s="2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0"/>
      <c r="O662" s="2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0"/>
      <c r="O663" s="2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0"/>
      <c r="O664" s="2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0"/>
      <c r="O665" s="2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0"/>
      <c r="O666" s="2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0"/>
      <c r="O667" s="2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0"/>
      <c r="O668" s="2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0"/>
      <c r="O669" s="2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0"/>
      <c r="O670" s="2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0"/>
      <c r="O671" s="2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0"/>
      <c r="O672" s="2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0"/>
      <c r="O673" s="2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0"/>
      <c r="O674" s="2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0"/>
      <c r="O675" s="2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0"/>
      <c r="O676" s="2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0"/>
      <c r="O677" s="2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0"/>
      <c r="O678" s="2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0"/>
      <c r="O679" s="2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0"/>
      <c r="O680" s="2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0"/>
      <c r="O681" s="2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0"/>
      <c r="O682" s="2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0"/>
      <c r="O683" s="2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0"/>
      <c r="O684" s="2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0"/>
      <c r="O685" s="2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0"/>
      <c r="O686" s="2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0"/>
      <c r="O687" s="2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0"/>
      <c r="O688" s="2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0"/>
      <c r="O689" s="2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0"/>
      <c r="O690" s="2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0"/>
      <c r="O691" s="2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0"/>
      <c r="O692" s="2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0"/>
      <c r="O693" s="2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0"/>
      <c r="O694" s="2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0"/>
      <c r="O695" s="2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0"/>
      <c r="O696" s="2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0"/>
      <c r="O697" s="2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0"/>
      <c r="O698" s="2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0"/>
      <c r="O699" s="2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0"/>
      <c r="O700" s="2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0"/>
      <c r="O701" s="2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0"/>
      <c r="O702" s="2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0"/>
      <c r="O703" s="2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0"/>
      <c r="O704" s="2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0"/>
      <c r="O705" s="2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0"/>
      <c r="O706" s="2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0"/>
      <c r="O707" s="2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0"/>
      <c r="O708" s="2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0"/>
      <c r="O709" s="2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0"/>
      <c r="O710" s="2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0"/>
      <c r="O711" s="2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0"/>
      <c r="O712" s="2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0"/>
      <c r="O713" s="2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0"/>
      <c r="O714" s="2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0"/>
      <c r="O715" s="2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0"/>
      <c r="O716" s="2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0"/>
      <c r="O717" s="2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0"/>
      <c r="O718" s="2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0"/>
      <c r="O719" s="2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0"/>
      <c r="O720" s="2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0"/>
      <c r="O721" s="2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0"/>
      <c r="O722" s="2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0"/>
      <c r="O723" s="2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0"/>
      <c r="O724" s="2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0"/>
      <c r="O725" s="2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0"/>
      <c r="O726" s="2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0"/>
      <c r="O727" s="2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0"/>
      <c r="O728" s="2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0"/>
      <c r="O729" s="2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0"/>
      <c r="O730" s="2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0"/>
      <c r="O731" s="2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0"/>
      <c r="O732" s="2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0"/>
      <c r="O733" s="2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0"/>
      <c r="O734" s="2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0"/>
      <c r="O735" s="2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0"/>
      <c r="O736" s="2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0"/>
      <c r="O737" s="2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0"/>
      <c r="O738" s="2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0"/>
      <c r="O739" s="2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0"/>
      <c r="O740" s="2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0"/>
      <c r="O741" s="2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0"/>
      <c r="O742" s="2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0"/>
      <c r="O743" s="2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0"/>
      <c r="O744" s="2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0"/>
      <c r="O745" s="2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0"/>
      <c r="O746" s="2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0"/>
      <c r="O747" s="2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0"/>
      <c r="O748" s="2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0"/>
      <c r="O749" s="2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0"/>
      <c r="O750" s="2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0"/>
      <c r="O751" s="2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0"/>
      <c r="O752" s="2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0"/>
      <c r="O753" s="2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0"/>
      <c r="O754" s="2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0"/>
      <c r="O755" s="2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0"/>
      <c r="O756" s="2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0"/>
      <c r="O757" s="2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0"/>
      <c r="O758" s="2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0"/>
      <c r="O759" s="2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0"/>
      <c r="O760" s="2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0"/>
      <c r="O761" s="2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0"/>
      <c r="O762" s="2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0"/>
      <c r="O763" s="2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0"/>
      <c r="O764" s="2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0"/>
      <c r="O765" s="2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0"/>
      <c r="O766" s="2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0"/>
      <c r="O767" s="2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0"/>
      <c r="O768" s="2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0"/>
      <c r="O769" s="2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0"/>
      <c r="O770" s="2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0"/>
      <c r="O771" s="2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0"/>
      <c r="O772" s="2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0"/>
      <c r="O773" s="2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0"/>
      <c r="O774" s="2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0"/>
      <c r="O775" s="2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0"/>
      <c r="O776" s="2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0"/>
      <c r="O777" s="2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0"/>
      <c r="O778" s="2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0"/>
      <c r="O779" s="2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0"/>
      <c r="O780" s="2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0"/>
      <c r="O781" s="2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0"/>
      <c r="O782" s="2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0"/>
      <c r="O783" s="2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0"/>
      <c r="O784" s="2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0"/>
      <c r="O785" s="2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0"/>
      <c r="O786" s="2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0"/>
      <c r="O787" s="2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0"/>
      <c r="O788" s="2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0"/>
      <c r="O789" s="2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0"/>
      <c r="O790" s="2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0"/>
      <c r="O791" s="2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0"/>
      <c r="O792" s="2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0"/>
      <c r="O793" s="2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0"/>
      <c r="O794" s="2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0"/>
      <c r="O795" s="2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0"/>
      <c r="O796" s="2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0"/>
      <c r="O797" s="2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0"/>
      <c r="O798" s="2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0"/>
      <c r="O799" s="2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0"/>
      <c r="O800" s="2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0"/>
      <c r="O801" s="2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0"/>
      <c r="O802" s="2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0"/>
      <c r="O803" s="2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0"/>
      <c r="O804" s="2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0"/>
      <c r="O805" s="2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0"/>
      <c r="O806" s="2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0"/>
      <c r="O807" s="2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0"/>
      <c r="O808" s="2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0"/>
      <c r="O809" s="2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0"/>
      <c r="O810" s="2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0"/>
      <c r="O811" s="2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0"/>
      <c r="O812" s="2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0"/>
      <c r="O813" s="2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0"/>
      <c r="O814" s="2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0"/>
      <c r="O815" s="2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0"/>
      <c r="O816" s="2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0"/>
      <c r="O817" s="2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0"/>
      <c r="O818" s="2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0"/>
      <c r="O819" s="2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0"/>
      <c r="O820" s="2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0"/>
      <c r="O821" s="2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0"/>
      <c r="O822" s="2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0"/>
      <c r="O823" s="2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0"/>
      <c r="O824" s="2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0"/>
      <c r="O825" s="2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0"/>
      <c r="O826" s="2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0"/>
      <c r="O827" s="2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0"/>
      <c r="O828" s="2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0"/>
      <c r="O829" s="2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0"/>
      <c r="O830" s="2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0"/>
      <c r="O831" s="2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0"/>
      <c r="O832" s="2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0"/>
      <c r="O833" s="2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0"/>
      <c r="O834" s="2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0"/>
      <c r="O835" s="2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0"/>
      <c r="O836" s="2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0"/>
      <c r="O837" s="2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0"/>
      <c r="O838" s="2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0"/>
      <c r="O839" s="2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0"/>
      <c r="O840" s="2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0"/>
      <c r="O841" s="2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0"/>
      <c r="O842" s="2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0"/>
      <c r="O843" s="2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0"/>
      <c r="O844" s="2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0"/>
      <c r="O845" s="2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0"/>
      <c r="O846" s="2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0"/>
      <c r="O847" s="2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0"/>
      <c r="O848" s="2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0"/>
      <c r="O849" s="2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0"/>
      <c r="O850" s="2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0"/>
      <c r="O851" s="2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0"/>
      <c r="O852" s="2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0"/>
      <c r="O853" s="2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0"/>
      <c r="O854" s="2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0"/>
      <c r="O855" s="2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0"/>
      <c r="O856" s="2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0"/>
      <c r="O857" s="2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0"/>
      <c r="O858" s="2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0"/>
      <c r="O859" s="2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0"/>
      <c r="O860" s="2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0"/>
      <c r="O861" s="2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0"/>
      <c r="O862" s="2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0"/>
      <c r="O863" s="2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0"/>
      <c r="O864" s="2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0"/>
      <c r="O865" s="2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0"/>
      <c r="O866" s="2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0"/>
      <c r="O867" s="2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0"/>
      <c r="O868" s="2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0"/>
      <c r="O869" s="2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0"/>
      <c r="O870" s="2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0"/>
      <c r="O871" s="2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0"/>
      <c r="O872" s="2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0"/>
      <c r="O873" s="2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0"/>
      <c r="O874" s="2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0"/>
      <c r="O875" s="2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0"/>
      <c r="O876" s="2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0"/>
      <c r="O877" s="2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0"/>
      <c r="O878" s="2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0"/>
      <c r="O879" s="2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0"/>
      <c r="O880" s="2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0"/>
      <c r="O881" s="2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0"/>
      <c r="O882" s="2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0"/>
      <c r="O883" s="2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0"/>
      <c r="O884" s="2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0"/>
      <c r="O885" s="2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0"/>
      <c r="O886" s="2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0"/>
      <c r="O887" s="2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0"/>
      <c r="O888" s="2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0"/>
      <c r="O889" s="2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0"/>
      <c r="O890" s="2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0"/>
      <c r="O891" s="2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0"/>
      <c r="O892" s="2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0"/>
      <c r="O893" s="2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0"/>
      <c r="O894" s="2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0"/>
      <c r="O895" s="2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0"/>
      <c r="O896" s="2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0"/>
      <c r="O897" s="2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0"/>
      <c r="O898" s="2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0"/>
      <c r="O899" s="2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0"/>
      <c r="O900" s="2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0"/>
      <c r="O901" s="2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0"/>
      <c r="O902" s="2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0"/>
      <c r="O903" s="2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0"/>
      <c r="O904" s="2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0"/>
      <c r="O905" s="2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0"/>
      <c r="O906" s="2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0"/>
      <c r="O907" s="2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0"/>
      <c r="O908" s="2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0"/>
      <c r="O909" s="2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0"/>
      <c r="O910" s="2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0"/>
      <c r="O911" s="2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0"/>
      <c r="O912" s="2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0"/>
      <c r="O913" s="2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0"/>
      <c r="O914" s="2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0"/>
      <c r="O915" s="2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0"/>
      <c r="O916" s="2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0"/>
      <c r="O917" s="2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0"/>
      <c r="O918" s="2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0"/>
      <c r="O919" s="2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0"/>
      <c r="O920" s="2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0"/>
      <c r="O921" s="2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0"/>
      <c r="O922" s="2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0"/>
      <c r="O923" s="2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0"/>
      <c r="O924" s="2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0"/>
      <c r="O925" s="2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0"/>
      <c r="O926" s="2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0"/>
      <c r="O927" s="2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0"/>
      <c r="O928" s="2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0"/>
      <c r="O929" s="2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0"/>
      <c r="O930" s="2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0"/>
      <c r="O931" s="2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0"/>
      <c r="O932" s="2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0"/>
      <c r="O933" s="2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0"/>
      <c r="O934" s="2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0"/>
      <c r="O935" s="2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0"/>
      <c r="O936" s="2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0"/>
      <c r="O937" s="2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0"/>
      <c r="O938" s="2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0"/>
      <c r="O939" s="2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0"/>
      <c r="O940" s="2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0"/>
      <c r="O941" s="2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0"/>
      <c r="O942" s="2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0"/>
      <c r="O943" s="2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0"/>
      <c r="O944" s="2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0"/>
      <c r="O945" s="2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0"/>
      <c r="O946" s="2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0"/>
      <c r="O947" s="2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0"/>
      <c r="O948" s="2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0"/>
      <c r="O949" s="2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0"/>
      <c r="O950" s="2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0"/>
      <c r="O951" s="2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0"/>
      <c r="O952" s="2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0"/>
      <c r="O953" s="2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0"/>
      <c r="O954" s="2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0"/>
      <c r="O955" s="2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0"/>
      <c r="O956" s="2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0"/>
      <c r="O957" s="2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0"/>
      <c r="O958" s="2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0"/>
      <c r="O959" s="2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0"/>
      <c r="O960" s="2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0"/>
      <c r="O961" s="2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0"/>
      <c r="O962" s="2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0"/>
      <c r="O963" s="2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0"/>
      <c r="O964" s="2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0"/>
      <c r="O965" s="2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0"/>
      <c r="O966" s="2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0"/>
      <c r="O967" s="2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0"/>
      <c r="O968" s="2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0"/>
      <c r="O969" s="2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0"/>
      <c r="O970" s="2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0"/>
      <c r="O971" s="2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0"/>
      <c r="O972" s="2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0"/>
      <c r="O973" s="2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0"/>
      <c r="O974" s="2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0"/>
      <c r="O975" s="2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0"/>
      <c r="O976" s="2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0"/>
      <c r="O977" s="2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0"/>
      <c r="O978" s="2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0"/>
      <c r="O979" s="2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0"/>
      <c r="O980" s="2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0"/>
      <c r="O981" s="2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0"/>
      <c r="O982" s="2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0"/>
      <c r="O983" s="2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0"/>
      <c r="O984" s="2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0"/>
      <c r="O985" s="2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0"/>
      <c r="O986" s="2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0"/>
      <c r="O987" s="2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0"/>
      <c r="O988" s="2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0"/>
      <c r="O989" s="2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0"/>
      <c r="O990" s="2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0"/>
      <c r="O991" s="2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0"/>
      <c r="O992" s="2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0"/>
      <c r="O993" s="2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0"/>
      <c r="O994" s="2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0"/>
      <c r="O995" s="2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0"/>
      <c r="O996" s="2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0"/>
      <c r="O997" s="2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0"/>
      <c r="O998" s="2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0"/>
      <c r="O999" s="2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0"/>
      <c r="O1000" s="2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1">
    <mergeCell ref="A1:P1"/>
  </mergeCell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DD3C16F-FE99-44AB-BC54-934ABCEF562A}"/>
</file>

<file path=customXml/itemProps2.xml><?xml version="1.0" encoding="utf-8"?>
<ds:datastoreItem xmlns:ds="http://schemas.openxmlformats.org/officeDocument/2006/customXml" ds:itemID="{D2ACB8B1-7EA1-43B9-A1E8-A71996A5991E}"/>
</file>

<file path=customXml/itemProps3.xml><?xml version="1.0" encoding="utf-8"?>
<ds:datastoreItem xmlns:ds="http://schemas.openxmlformats.org/officeDocument/2006/customXml" ds:itemID="{B0F8315E-8CAA-4B22-8500-416341F7AAB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