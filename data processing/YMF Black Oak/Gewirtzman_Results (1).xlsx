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gewirtzman/Downloads/"/>
    </mc:Choice>
  </mc:AlternateContent>
  <xr:revisionPtr revIDLastSave="0" documentId="13_ncr:1_{7DE7F8A3-CDD0-1E43-A959-DCC5B367BD6E}" xr6:coauthVersionLast="36" xr6:coauthVersionMax="47" xr10:uidLastSave="{00000000-0000-0000-0000-000000000000}"/>
  <bookViews>
    <workbookView xWindow="0" yWindow="500" windowWidth="28800" windowHeight="15840" activeTab="1" xr2:uid="{F56CF209-DEC3-4D20-8BAC-70E9E7BBFB8B}"/>
  </bookViews>
  <sheets>
    <sheet name="Raw Data" sheetId="1" r:id="rId1"/>
    <sheet name="Std Conc" sheetId="2" r:id="rId2"/>
    <sheet name="Merge Std Conc" sheetId="4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1" i="4" l="1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2" i="4"/>
  <c r="H2" i="2"/>
  <c r="I2" i="2"/>
  <c r="J2" i="2"/>
  <c r="K2" i="2"/>
  <c r="H3" i="2"/>
  <c r="I3" i="2"/>
  <c r="J3" i="2"/>
  <c r="K3" i="2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4" i="2"/>
</calcChain>
</file>

<file path=xl/sharedStrings.xml><?xml version="1.0" encoding="utf-8"?>
<sst xmlns="http://schemas.openxmlformats.org/spreadsheetml/2006/main" count="2374" uniqueCount="247">
  <si>
    <t>F220928s01.CHR</t>
  </si>
  <si>
    <t>CH4</t>
  </si>
  <si>
    <t>ppm</t>
  </si>
  <si>
    <t>CO2</t>
  </si>
  <si>
    <t>F220928s02.CHR</t>
  </si>
  <si>
    <t>F220928s03.CHR</t>
  </si>
  <si>
    <t>F220928s04.CHR</t>
  </si>
  <si>
    <t>F220928s05.CHR</t>
  </si>
  <si>
    <t>F220928s06.CHR</t>
  </si>
  <si>
    <t>F220928s07.CHR</t>
  </si>
  <si>
    <t>F220928s08.CHR</t>
  </si>
  <si>
    <t>F220928s09.CHR</t>
  </si>
  <si>
    <t>F220928s10.CHR</t>
  </si>
  <si>
    <t>F220928s11.CHR</t>
  </si>
  <si>
    <t>F220928s12.CHR</t>
  </si>
  <si>
    <t>F220928s13.CHR</t>
  </si>
  <si>
    <t>F220928s14.CHR</t>
  </si>
  <si>
    <t>F220928s15.CHR</t>
  </si>
  <si>
    <t>F220928s16.CHR</t>
  </si>
  <si>
    <t>F220928s17.CHR</t>
  </si>
  <si>
    <t>F220928s18.CHR</t>
  </si>
  <si>
    <t>F220928s19.CHR</t>
  </si>
  <si>
    <t>F220928s20.CHR</t>
  </si>
  <si>
    <t>F220928s21.CHR</t>
  </si>
  <si>
    <t>F220928s22.CHR</t>
  </si>
  <si>
    <t>F220928s23.CHR</t>
  </si>
  <si>
    <t>F220928s24.CHR</t>
  </si>
  <si>
    <t>F220928s25.CHR</t>
  </si>
  <si>
    <t>F220928s26.CHR</t>
  </si>
  <si>
    <t>F220928s27.CHR</t>
  </si>
  <si>
    <t>F220928s28.CHR</t>
  </si>
  <si>
    <t>F220928s29.CHR</t>
  </si>
  <si>
    <t>F220928s30.CHR</t>
  </si>
  <si>
    <t>F220928s31.CHR</t>
  </si>
  <si>
    <t>F220928s32.CHR</t>
  </si>
  <si>
    <t>F220928s33.CHR</t>
  </si>
  <si>
    <t>F220928s34.CHR</t>
  </si>
  <si>
    <t>F220928s35.CHR</t>
  </si>
  <si>
    <t>F220928s36.CHR</t>
  </si>
  <si>
    <t>F220928s37.CHR</t>
  </si>
  <si>
    <t>F220928s38.CHR</t>
  </si>
  <si>
    <t>F220928s39.CHR</t>
  </si>
  <si>
    <t>F220928s40.CHR</t>
  </si>
  <si>
    <t>F220928s41.CHR</t>
  </si>
  <si>
    <t>F220928s42.CHR</t>
  </si>
  <si>
    <t>F220928s43.CHR</t>
  </si>
  <si>
    <t>F220928s44.CHR</t>
  </si>
  <si>
    <t>F220928s45.CHR</t>
  </si>
  <si>
    <t>F220928s46.CHR</t>
  </si>
  <si>
    <t>F220928s47.CHR</t>
  </si>
  <si>
    <t>F220928s48.CHR</t>
  </si>
  <si>
    <t>F220928s49.CHR</t>
  </si>
  <si>
    <t>F220928s50.CHR</t>
  </si>
  <si>
    <t>F220928s51.CHR</t>
  </si>
  <si>
    <t>F220928s52.CHR</t>
  </si>
  <si>
    <t>F220928s53.CHR</t>
  </si>
  <si>
    <t>F220928s54.CHR</t>
  </si>
  <si>
    <t>F220928s55.CHR</t>
  </si>
  <si>
    <t>F220928s56.CHR</t>
  </si>
  <si>
    <t>F220928s57.CHR</t>
  </si>
  <si>
    <t>F220928s58.CHR</t>
  </si>
  <si>
    <t>F220928s59.CHR</t>
  </si>
  <si>
    <t>F220928s60.CHR</t>
  </si>
  <si>
    <t>F220928s61.CHR</t>
  </si>
  <si>
    <t>F220928s62.CHR</t>
  </si>
  <si>
    <t>F220928s63.CHR</t>
  </si>
  <si>
    <t>F220928s64.CHR</t>
  </si>
  <si>
    <t>F220928s65.CHR</t>
  </si>
  <si>
    <t>F220928s66.CHR</t>
  </si>
  <si>
    <t>F220928s67.CHR</t>
  </si>
  <si>
    <t>F220928s68.CHR</t>
  </si>
  <si>
    <t>F220928s69.CHR</t>
  </si>
  <si>
    <t>F220928s70.CHR</t>
  </si>
  <si>
    <t>F220928s71.CHR</t>
  </si>
  <si>
    <t>F220928s72.CHR</t>
  </si>
  <si>
    <t>F220928s73.CHR</t>
  </si>
  <si>
    <t>F220928s74.CHR</t>
  </si>
  <si>
    <t>F220928s75.CHR</t>
  </si>
  <si>
    <t>F220928s76.CHR</t>
  </si>
  <si>
    <t>F220928s77.CHR</t>
  </si>
  <si>
    <t>F220928s78.CHR</t>
  </si>
  <si>
    <t>F220928s79.CHR</t>
  </si>
  <si>
    <t>F220928s80.CHR</t>
  </si>
  <si>
    <t>F220928s81.CHR</t>
  </si>
  <si>
    <t>F220928s82.CHR</t>
  </si>
  <si>
    <t>F220928s83.CHR</t>
  </si>
  <si>
    <t>F220928s84.CHR</t>
  </si>
  <si>
    <t>F220928s85.CHR</t>
  </si>
  <si>
    <t>F220928s86.CHR</t>
  </si>
  <si>
    <t>F220928s87.CHR</t>
  </si>
  <si>
    <t>F220928s88.CHR</t>
  </si>
  <si>
    <t>F220928s89.CHR</t>
  </si>
  <si>
    <t>F220928s90.CHR</t>
  </si>
  <si>
    <t>F220928s91.CHR</t>
  </si>
  <si>
    <t>F220928s92.CHR</t>
  </si>
  <si>
    <t>F220928s93.CHR</t>
  </si>
  <si>
    <t>F220928s94.CHR</t>
  </si>
  <si>
    <t>F220928s95.CHR</t>
  </si>
  <si>
    <t>F220928s96.CHR</t>
  </si>
  <si>
    <t>F220928s97.CHR</t>
  </si>
  <si>
    <t>F220928s98.CHR</t>
  </si>
  <si>
    <t>F220928s99.CHR</t>
  </si>
  <si>
    <t>F220928s100.CHR</t>
  </si>
  <si>
    <t>E220928s01.CHR</t>
  </si>
  <si>
    <t xml:space="preserve"> O2</t>
  </si>
  <si>
    <t>N2O</t>
  </si>
  <si>
    <t>E220928s02.CHR</t>
  </si>
  <si>
    <t>E220928s03.CHR</t>
  </si>
  <si>
    <t>E220928s04.CHR</t>
  </si>
  <si>
    <t>E220928s05.CHR</t>
  </si>
  <si>
    <t>E220928s06.CHR</t>
  </si>
  <si>
    <t>E220928s07.CHR</t>
  </si>
  <si>
    <t>E220928s08.CHR</t>
  </si>
  <si>
    <t>E220928s09.CHR</t>
  </si>
  <si>
    <t>E220928s10.CHR</t>
  </si>
  <si>
    <t>E220928s11.CHR</t>
  </si>
  <si>
    <t>E220928s12.CHR</t>
  </si>
  <si>
    <t>E220928s13.CHR</t>
  </si>
  <si>
    <t>E220928s14.CHR</t>
  </si>
  <si>
    <t>E220928s15.CHR</t>
  </si>
  <si>
    <t>E220928s16.CHR</t>
  </si>
  <si>
    <t>E220928s17.CHR</t>
  </si>
  <si>
    <t>E220928s18.CHR</t>
  </si>
  <si>
    <t>E220928s19.CHR</t>
  </si>
  <si>
    <t>E220928s20.CHR</t>
  </si>
  <si>
    <t>E220928s21.CHR</t>
  </si>
  <si>
    <t>E220928s22.CHR</t>
  </si>
  <si>
    <t>E220928s23.CHR</t>
  </si>
  <si>
    <t>E220928s24.CHR</t>
  </si>
  <si>
    <t>E220928s25.CHR</t>
  </si>
  <si>
    <t>E220928s26.CHR</t>
  </si>
  <si>
    <t>E220928s27.CHR</t>
  </si>
  <si>
    <t>E220928s28.CHR</t>
  </si>
  <si>
    <t>E220928s29.CHR</t>
  </si>
  <si>
    <t>E220928s30.CHR</t>
  </si>
  <si>
    <t>E220928s31.CHR</t>
  </si>
  <si>
    <t>E220928s32.CHR</t>
  </si>
  <si>
    <t>E220928s33.CHR</t>
  </si>
  <si>
    <t>E220928s34.CHR</t>
  </si>
  <si>
    <t>E220928s35.CHR</t>
  </si>
  <si>
    <t>E220928s36.CHR</t>
  </si>
  <si>
    <t>E220928s37.CHR</t>
  </si>
  <si>
    <t>E220928s38.CHR</t>
  </si>
  <si>
    <t>E220928s39.CHR</t>
  </si>
  <si>
    <t>E220928s40.CHR</t>
  </si>
  <si>
    <t>E220928s41.CHR</t>
  </si>
  <si>
    <t>E220928s42.CHR</t>
  </si>
  <si>
    <t>E220928s43.CHR</t>
  </si>
  <si>
    <t>E220928s44.CHR</t>
  </si>
  <si>
    <t>E220928s45.CHR</t>
  </si>
  <si>
    <t>E220928s46.CHR</t>
  </si>
  <si>
    <t>E220928s47.CHR</t>
  </si>
  <si>
    <t>E220928s48.CHR</t>
  </si>
  <si>
    <t>E220928s49.CHR</t>
  </si>
  <si>
    <t>E220928s50.CHR</t>
  </si>
  <si>
    <t>E220928s51.CHR</t>
  </si>
  <si>
    <t>E220928s52.CHR</t>
  </si>
  <si>
    <t>E220928s53.CHR</t>
  </si>
  <si>
    <t>E220928s54.CHR</t>
  </si>
  <si>
    <t>E220928s55.CHR</t>
  </si>
  <si>
    <t>E220928s56.CHR</t>
  </si>
  <si>
    <t>E220928s57.CHR</t>
  </si>
  <si>
    <t>E220928s58.CHR</t>
  </si>
  <si>
    <t>E220928s59.CHR</t>
  </si>
  <si>
    <t>E220928s60.CHR</t>
  </si>
  <si>
    <t>E220928s61.CHR</t>
  </si>
  <si>
    <t>E220928s62.CHR</t>
  </si>
  <si>
    <t>E220928s63.CHR</t>
  </si>
  <si>
    <t>E220928s64.CHR</t>
  </si>
  <si>
    <t>E220928s65.CHR</t>
  </si>
  <si>
    <t>E220928s66.CHR</t>
  </si>
  <si>
    <t>E220928s67.CHR</t>
  </si>
  <si>
    <t>E220928s68.CHR</t>
  </si>
  <si>
    <t>E220928s69.CHR</t>
  </si>
  <si>
    <t>E220928s70.CHR</t>
  </si>
  <si>
    <t>E220928s71.CHR</t>
  </si>
  <si>
    <t>E220928s72.CHR</t>
  </si>
  <si>
    <t>E220928s73.CHR</t>
  </si>
  <si>
    <t>E220928s74.CHR</t>
  </si>
  <si>
    <t>E220928s75.CHR</t>
  </si>
  <si>
    <t>E220928s76.CHR</t>
  </si>
  <si>
    <t>E220928s77.CHR</t>
  </si>
  <si>
    <t>E220928s78.CHR</t>
  </si>
  <si>
    <t>E220928s79.CHR</t>
  </si>
  <si>
    <t>E220928s80.CHR</t>
  </si>
  <si>
    <t>E220928s81.CHR</t>
  </si>
  <si>
    <t>E220928s82.CHR</t>
  </si>
  <si>
    <t>E220928s83.CHR</t>
  </si>
  <si>
    <t>E220928s84.CHR</t>
  </si>
  <si>
    <t>E220928s85.CHR</t>
  </si>
  <si>
    <t>E220928s86.CHR</t>
  </si>
  <si>
    <t>E220928s87.CHR</t>
  </si>
  <si>
    <t>E220928s88.CHR</t>
  </si>
  <si>
    <t>E220928s89.CHR</t>
  </si>
  <si>
    <t>E220928s90.CHR</t>
  </si>
  <si>
    <t>E220928s91.CHR</t>
  </si>
  <si>
    <t>E220928s92.CHR</t>
  </si>
  <si>
    <t>E220928s93.CHR</t>
  </si>
  <si>
    <t>E220928s94.CHR</t>
  </si>
  <si>
    <t>E220928s95.CHR</t>
  </si>
  <si>
    <t>E220928s96.CHR</t>
  </si>
  <si>
    <t>E220928s97.CHR</t>
  </si>
  <si>
    <t>E220928s98.CHR</t>
  </si>
  <si>
    <t>E220928s99.CHR</t>
  </si>
  <si>
    <t>E220928s100.CHR</t>
  </si>
  <si>
    <t>Sample ID</t>
  </si>
  <si>
    <t>File</t>
  </si>
  <si>
    <t>Date</t>
  </si>
  <si>
    <t>Time</t>
  </si>
  <si>
    <t>Certified Conc.CH4 ppm</t>
  </si>
  <si>
    <t>Area CH4</t>
  </si>
  <si>
    <t>CALCULATED</t>
  </si>
  <si>
    <t>Certified Conc.CO2 ppm</t>
  </si>
  <si>
    <t>Area CO2</t>
  </si>
  <si>
    <t>Certified Conc. O2 ppm</t>
  </si>
  <si>
    <t>Area O2</t>
  </si>
  <si>
    <t>Certified Conc. N2O ppm</t>
  </si>
  <si>
    <t>Area N2O</t>
  </si>
  <si>
    <t>O2</t>
  </si>
  <si>
    <t>N2</t>
  </si>
  <si>
    <t>Lab Air Blank</t>
  </si>
  <si>
    <t>SB2</t>
  </si>
  <si>
    <t>SB1</t>
  </si>
  <si>
    <t>SB3</t>
  </si>
  <si>
    <t>SB4</t>
  </si>
  <si>
    <t>SB5</t>
  </si>
  <si>
    <t>SB6</t>
  </si>
  <si>
    <t>Outdoor Air 1</t>
  </si>
  <si>
    <t>Outdoor Air 3</t>
  </si>
  <si>
    <t>Outdoor Air 5</t>
  </si>
  <si>
    <t>Outdoor Air 7</t>
  </si>
  <si>
    <t>Outdoor Air 2</t>
  </si>
  <si>
    <t>Outdoor Air 4</t>
  </si>
  <si>
    <t>Outdoor Air 6</t>
  </si>
  <si>
    <t>Oxygen Standard 1</t>
  </si>
  <si>
    <t>Oxygen Standard 2</t>
  </si>
  <si>
    <t>Oxygen Standard 3</t>
  </si>
  <si>
    <t>Oxygen Standard 4</t>
  </si>
  <si>
    <t>Oxygen Standard 5</t>
  </si>
  <si>
    <t>Stock [CO2]</t>
  </si>
  <si>
    <t>Stock [CH4]</t>
  </si>
  <si>
    <t>Stock [N2O]</t>
  </si>
  <si>
    <t>Stock [O2]</t>
  </si>
  <si>
    <t>mL Stock</t>
  </si>
  <si>
    <t>mL N2</t>
  </si>
  <si>
    <t>Gas</t>
  </si>
  <si>
    <t>Standard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</si>
</sst>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2" borderId="0" xfId="0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Outdoor Air CH4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477021646058495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Sheet5!$E$65:$E$83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0.30000000000000004</c:v>
                </c:pt>
                <c:pt idx="5">
                  <c:v>0.30000000000000004</c:v>
                </c:pt>
                <c:pt idx="6">
                  <c:v>0.30000000000000004</c:v>
                </c:pt>
                <c:pt idx="7">
                  <c:v>0.60000000000000009</c:v>
                </c:pt>
                <c:pt idx="8">
                  <c:v>0.60000000000000009</c:v>
                </c:pt>
                <c:pt idx="9">
                  <c:v>0.60000000000000009</c:v>
                </c:pt>
                <c:pt idx="10">
                  <c:v>0.89999999999999991</c:v>
                </c:pt>
                <c:pt idx="11">
                  <c:v>0.89999999999999991</c:v>
                </c:pt>
                <c:pt idx="12">
                  <c:v>0.89999999999999991</c:v>
                </c:pt>
                <c:pt idx="13">
                  <c:v>1.2000000000000002</c:v>
                </c:pt>
                <c:pt idx="14">
                  <c:v>1.2000000000000002</c:v>
                </c:pt>
                <c:pt idx="15">
                  <c:v>1.2000000000000002</c:v>
                </c:pt>
                <c:pt idx="16">
                  <c:v>1.5</c:v>
                </c:pt>
                <c:pt idx="17">
                  <c:v>1.5</c:v>
                </c:pt>
                <c:pt idx="18">
                  <c:v>1.7999999999999998</c:v>
                </c:pt>
              </c:numCache>
            </c:numRef>
          </c:xVal>
          <c:yVal>
            <c:numRef>
              <c:f>Sheet5!$F$65:$F$83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0.1396</c:v>
                </c:pt>
                <c:pt idx="5">
                  <c:v>0.1522</c:v>
                </c:pt>
                <c:pt idx="7">
                  <c:v>0.2175</c:v>
                </c:pt>
                <c:pt idx="8">
                  <c:v>0.21029999999999999</c:v>
                </c:pt>
                <c:pt idx="10">
                  <c:v>0.32090000000000002</c:v>
                </c:pt>
                <c:pt idx="11">
                  <c:v>0.30640000000000001</c:v>
                </c:pt>
                <c:pt idx="13">
                  <c:v>0.37180000000000002</c:v>
                </c:pt>
                <c:pt idx="14">
                  <c:v>0.38300000000000001</c:v>
                </c:pt>
                <c:pt idx="16">
                  <c:v>0.47399999999999998</c:v>
                </c:pt>
                <c:pt idx="17">
                  <c:v>0.42680000000000001</c:v>
                </c:pt>
                <c:pt idx="18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69-48B7-9DD3-E8EB4936B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191416"/>
        <c:axId val="540187152"/>
      </c:scatterChart>
      <c:valAx>
        <c:axId val="540191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87152"/>
        <c:crosses val="autoZero"/>
        <c:crossBetween val="midCat"/>
      </c:valAx>
      <c:valAx>
        <c:axId val="54018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91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Outdoor Air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Sheet5!$H$66:$H$84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69.166666666666671</c:v>
                </c:pt>
                <c:pt idx="4">
                  <c:v>69.166666666666671</c:v>
                </c:pt>
                <c:pt idx="5">
                  <c:v>69.166666666666671</c:v>
                </c:pt>
                <c:pt idx="6">
                  <c:v>138.33333333333334</c:v>
                </c:pt>
                <c:pt idx="7">
                  <c:v>138.33333333333334</c:v>
                </c:pt>
                <c:pt idx="8">
                  <c:v>138.33333333333334</c:v>
                </c:pt>
                <c:pt idx="9">
                  <c:v>207.5</c:v>
                </c:pt>
                <c:pt idx="10">
                  <c:v>207.5</c:v>
                </c:pt>
                <c:pt idx="11">
                  <c:v>207.5</c:v>
                </c:pt>
                <c:pt idx="12">
                  <c:v>276.66666666666669</c:v>
                </c:pt>
                <c:pt idx="13">
                  <c:v>276.66666666666669</c:v>
                </c:pt>
                <c:pt idx="14">
                  <c:v>276.66666666666669</c:v>
                </c:pt>
                <c:pt idx="15">
                  <c:v>345.83333333333331</c:v>
                </c:pt>
                <c:pt idx="16">
                  <c:v>345.83333333333331</c:v>
                </c:pt>
                <c:pt idx="17">
                  <c:v>415</c:v>
                </c:pt>
                <c:pt idx="18">
                  <c:v>415</c:v>
                </c:pt>
              </c:numCache>
            </c:numRef>
          </c:xVal>
          <c:yVal>
            <c:numRef>
              <c:f>Sheet5!$I$66:$I$84</c:f>
              <c:numCache>
                <c:formatCode>General</c:formatCode>
                <c:ptCount val="19"/>
                <c:pt idx="0">
                  <c:v>11.295199999999999</c:v>
                </c:pt>
                <c:pt idx="1">
                  <c:v>10.415900000000001</c:v>
                </c:pt>
                <c:pt idx="2">
                  <c:v>11.251200000000001</c:v>
                </c:pt>
                <c:pt idx="3">
                  <c:v>35.2515</c:v>
                </c:pt>
                <c:pt idx="4">
                  <c:v>34.2288</c:v>
                </c:pt>
                <c:pt idx="6">
                  <c:v>55.742800000000003</c:v>
                </c:pt>
                <c:pt idx="7">
                  <c:v>53.994</c:v>
                </c:pt>
                <c:pt idx="9">
                  <c:v>77.796499999999995</c:v>
                </c:pt>
                <c:pt idx="10">
                  <c:v>81.463099999999997</c:v>
                </c:pt>
                <c:pt idx="12">
                  <c:v>99.141400000000004</c:v>
                </c:pt>
                <c:pt idx="13">
                  <c:v>101.49679999999999</c:v>
                </c:pt>
                <c:pt idx="15">
                  <c:v>114.974</c:v>
                </c:pt>
                <c:pt idx="16">
                  <c:v>120.5926</c:v>
                </c:pt>
                <c:pt idx="17">
                  <c:v>137.46350000000001</c:v>
                </c:pt>
                <c:pt idx="18">
                  <c:v>135.8554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16-4843-AD58-E931BC995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16408"/>
        <c:axId val="587217064"/>
      </c:scatterChart>
      <c:valAx>
        <c:axId val="587216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17064"/>
        <c:crosses val="autoZero"/>
        <c:crossBetween val="midCat"/>
      </c:valAx>
      <c:valAx>
        <c:axId val="58721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16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Outdoor</a:t>
            </a:r>
            <a:r>
              <a:rPr lang="en-US" baseline="0"/>
              <a:t> Air O2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1086417268298433"/>
                  <c:y val="1.80839077002187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Sheet5!$K$66:$K$84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34916.666666666664</c:v>
                </c:pt>
                <c:pt idx="4">
                  <c:v>34916.666666666664</c:v>
                </c:pt>
                <c:pt idx="5">
                  <c:v>34916.666666666664</c:v>
                </c:pt>
                <c:pt idx="6">
                  <c:v>69833.333333333328</c:v>
                </c:pt>
                <c:pt idx="7">
                  <c:v>69833.333333333328</c:v>
                </c:pt>
                <c:pt idx="8">
                  <c:v>69833.333333333328</c:v>
                </c:pt>
                <c:pt idx="9">
                  <c:v>104750</c:v>
                </c:pt>
                <c:pt idx="10">
                  <c:v>104750</c:v>
                </c:pt>
                <c:pt idx="11">
                  <c:v>104750</c:v>
                </c:pt>
                <c:pt idx="12">
                  <c:v>139666.66666666666</c:v>
                </c:pt>
                <c:pt idx="13">
                  <c:v>139666.66666666666</c:v>
                </c:pt>
                <c:pt idx="14">
                  <c:v>139666.66666666666</c:v>
                </c:pt>
                <c:pt idx="15">
                  <c:v>174583.33333333334</c:v>
                </c:pt>
                <c:pt idx="16">
                  <c:v>174583.33333333334</c:v>
                </c:pt>
                <c:pt idx="17">
                  <c:v>209500</c:v>
                </c:pt>
                <c:pt idx="18">
                  <c:v>209500</c:v>
                </c:pt>
              </c:numCache>
            </c:numRef>
          </c:xVal>
          <c:yVal>
            <c:numRef>
              <c:f>Sheet5!$L$66:$L$84</c:f>
              <c:numCache>
                <c:formatCode>General</c:formatCode>
                <c:ptCount val="19"/>
                <c:pt idx="0">
                  <c:v>915.84100000000001</c:v>
                </c:pt>
                <c:pt idx="1">
                  <c:v>932.02560000000005</c:v>
                </c:pt>
                <c:pt idx="2">
                  <c:v>920.36720000000003</c:v>
                </c:pt>
                <c:pt idx="3">
                  <c:v>1834.2928999999999</c:v>
                </c:pt>
                <c:pt idx="4">
                  <c:v>1846.8723</c:v>
                </c:pt>
                <c:pt idx="5">
                  <c:v>1735.4905000000001</c:v>
                </c:pt>
                <c:pt idx="6">
                  <c:v>2390.627</c:v>
                </c:pt>
                <c:pt idx="7">
                  <c:v>2293.5387999999998</c:v>
                </c:pt>
                <c:pt idx="8">
                  <c:v>2103.5106000000001</c:v>
                </c:pt>
                <c:pt idx="9">
                  <c:v>2778.5853999999999</c:v>
                </c:pt>
                <c:pt idx="10">
                  <c:v>2780.6727000000001</c:v>
                </c:pt>
                <c:pt idx="11">
                  <c:v>2880.3919000000001</c:v>
                </c:pt>
                <c:pt idx="12">
                  <c:v>3264.2871</c:v>
                </c:pt>
                <c:pt idx="13">
                  <c:v>3212.7058000000002</c:v>
                </c:pt>
                <c:pt idx="14">
                  <c:v>3522.2271999999998</c:v>
                </c:pt>
                <c:pt idx="15">
                  <c:v>3489.7420000000002</c:v>
                </c:pt>
                <c:pt idx="16">
                  <c:v>3380.2003</c:v>
                </c:pt>
                <c:pt idx="17">
                  <c:v>3716.7166000000002</c:v>
                </c:pt>
                <c:pt idx="18">
                  <c:v>3713.3326999999999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4-452C-927E-C524CC2A9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983080"/>
        <c:axId val="577988000"/>
      </c:scatterChart>
      <c:valAx>
        <c:axId val="577983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88000"/>
        <c:crosses val="autoZero"/>
        <c:crossBetween val="midCat"/>
      </c:valAx>
      <c:valAx>
        <c:axId val="57798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83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Outdoor Air 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860489074877024"/>
                  <c:y val="2.32701421800947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Sheet5!$N$66:$N$84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5.4166666666666669E-2</c:v>
                </c:pt>
                <c:pt idx="4">
                  <c:v>5.4166666666666669E-2</c:v>
                </c:pt>
                <c:pt idx="5">
                  <c:v>5.4166666666666669E-2</c:v>
                </c:pt>
                <c:pt idx="6">
                  <c:v>0.10833333333333334</c:v>
                </c:pt>
                <c:pt idx="7">
                  <c:v>0.10833333333333334</c:v>
                </c:pt>
                <c:pt idx="8">
                  <c:v>0.10833333333333334</c:v>
                </c:pt>
                <c:pt idx="9">
                  <c:v>0.16250000000000001</c:v>
                </c:pt>
                <c:pt idx="10">
                  <c:v>0.16250000000000001</c:v>
                </c:pt>
                <c:pt idx="11">
                  <c:v>0.16250000000000001</c:v>
                </c:pt>
                <c:pt idx="12">
                  <c:v>0.21666666666666667</c:v>
                </c:pt>
                <c:pt idx="13">
                  <c:v>0.21666666666666667</c:v>
                </c:pt>
                <c:pt idx="14">
                  <c:v>0.21666666666666667</c:v>
                </c:pt>
                <c:pt idx="15">
                  <c:v>0.27083333333333331</c:v>
                </c:pt>
                <c:pt idx="16">
                  <c:v>0.27083333333333331</c:v>
                </c:pt>
                <c:pt idx="17">
                  <c:v>0.32500000000000001</c:v>
                </c:pt>
                <c:pt idx="18">
                  <c:v>0.32500000000000001</c:v>
                </c:pt>
              </c:numCache>
            </c:numRef>
          </c:xVal>
          <c:yVal>
            <c:numRef>
              <c:f>Sheet5!$O$66:$O$84</c:f>
              <c:numCache>
                <c:formatCode>General</c:formatCode>
                <c:ptCount val="19"/>
                <c:pt idx="0">
                  <c:v>4.8129999999999997</c:v>
                </c:pt>
                <c:pt idx="1">
                  <c:v>6.4603999999999999</c:v>
                </c:pt>
                <c:pt idx="2">
                  <c:v>4.79</c:v>
                </c:pt>
                <c:pt idx="3">
                  <c:v>21.426400000000001</c:v>
                </c:pt>
                <c:pt idx="4">
                  <c:v>19.209399999999999</c:v>
                </c:pt>
                <c:pt idx="6">
                  <c:v>34.426600000000001</c:v>
                </c:pt>
                <c:pt idx="7">
                  <c:v>36.027099999999997</c:v>
                </c:pt>
                <c:pt idx="9">
                  <c:v>50.606400000000001</c:v>
                </c:pt>
                <c:pt idx="10">
                  <c:v>51.624299999999998</c:v>
                </c:pt>
                <c:pt idx="12">
                  <c:v>63.630400000000002</c:v>
                </c:pt>
                <c:pt idx="13">
                  <c:v>65.927099999999996</c:v>
                </c:pt>
                <c:pt idx="15">
                  <c:v>75.39</c:v>
                </c:pt>
                <c:pt idx="16">
                  <c:v>76.516800000000003</c:v>
                </c:pt>
                <c:pt idx="17">
                  <c:v>93.941800000000001</c:v>
                </c:pt>
                <c:pt idx="18">
                  <c:v>91.801400000000001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AE-4A4F-839E-ECF7CA2A0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497608"/>
        <c:axId val="418495312"/>
      </c:scatterChart>
      <c:valAx>
        <c:axId val="41849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95312"/>
        <c:crosses val="autoZero"/>
        <c:crossBetween val="midCat"/>
      </c:valAx>
      <c:valAx>
        <c:axId val="41849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497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Oxygen</a:t>
            </a:r>
            <a:r>
              <a:rPr lang="en-US" baseline="0"/>
              <a:t> Standard O2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0399174068109743"/>
                  <c:y val="-5.871609798775153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Sheet5!$K$85:$K$89</c:f>
              <c:numCache>
                <c:formatCode>General</c:formatCode>
                <c:ptCount val="5"/>
                <c:pt idx="0">
                  <c:v>0</c:v>
                </c:pt>
                <c:pt idx="1">
                  <c:v>27777.777777777777</c:v>
                </c:pt>
                <c:pt idx="2">
                  <c:v>55555.555555555555</c:v>
                </c:pt>
                <c:pt idx="3">
                  <c:v>111111.11111111111</c:v>
                </c:pt>
                <c:pt idx="4">
                  <c:v>166666.66666666666</c:v>
                </c:pt>
              </c:numCache>
            </c:numRef>
          </c:xVal>
          <c:yVal>
            <c:numRef>
              <c:f>Sheet5!$L$85:$L$89</c:f>
              <c:numCache>
                <c:formatCode>General</c:formatCode>
                <c:ptCount val="5"/>
                <c:pt idx="0">
                  <c:v>888.24390000000005</c:v>
                </c:pt>
                <c:pt idx="1">
                  <c:v>1656.2248999999999</c:v>
                </c:pt>
                <c:pt idx="2">
                  <c:v>2120.4117999999999</c:v>
                </c:pt>
                <c:pt idx="3">
                  <c:v>2885.2258999999999</c:v>
                </c:pt>
                <c:pt idx="4">
                  <c:v>3494.6612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3D-4781-A865-B84A440AA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987016"/>
        <c:axId val="577987344"/>
      </c:scatterChart>
      <c:valAx>
        <c:axId val="577987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87344"/>
        <c:crosses val="autoZero"/>
        <c:crossBetween val="midCat"/>
      </c:valAx>
      <c:valAx>
        <c:axId val="57798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87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YASIC Standar</a:t>
            </a:r>
            <a:r>
              <a:rPr lang="en-US" baseline="0"/>
              <a:t>d CH4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929440124877743"/>
                  <c:y val="3.96070282881306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Sheet5!$E$90:$E$99</c:f>
              <c:numCache>
                <c:formatCode>General</c:formatCode>
                <c:ptCount val="10"/>
                <c:pt idx="0">
                  <c:v>0.97629999999999995</c:v>
                </c:pt>
                <c:pt idx="1">
                  <c:v>0.97629999999999995</c:v>
                </c:pt>
                <c:pt idx="2">
                  <c:v>3.008</c:v>
                </c:pt>
                <c:pt idx="3">
                  <c:v>3.008</c:v>
                </c:pt>
                <c:pt idx="4">
                  <c:v>20.64</c:v>
                </c:pt>
                <c:pt idx="5">
                  <c:v>20.64</c:v>
                </c:pt>
                <c:pt idx="6">
                  <c:v>201.4</c:v>
                </c:pt>
                <c:pt idx="7">
                  <c:v>201.4</c:v>
                </c:pt>
                <c:pt idx="8">
                  <c:v>5029</c:v>
                </c:pt>
                <c:pt idx="9">
                  <c:v>5029</c:v>
                </c:pt>
              </c:numCache>
            </c:numRef>
          </c:xVal>
          <c:yVal>
            <c:numRef>
              <c:f>Sheet5!$F$90:$F$99</c:f>
              <c:numCache>
                <c:formatCode>General</c:formatCode>
                <c:ptCount val="10"/>
                <c:pt idx="0">
                  <c:v>0.21640000000000001</c:v>
                </c:pt>
                <c:pt idx="1">
                  <c:v>0.2364</c:v>
                </c:pt>
                <c:pt idx="2">
                  <c:v>0.66100000000000003</c:v>
                </c:pt>
                <c:pt idx="3">
                  <c:v>0.65280000000000005</c:v>
                </c:pt>
                <c:pt idx="4">
                  <c:v>4.5819999999999999</c:v>
                </c:pt>
                <c:pt idx="5">
                  <c:v>4.6113999999999997</c:v>
                </c:pt>
                <c:pt idx="6">
                  <c:v>46.089799999999997</c:v>
                </c:pt>
                <c:pt idx="7">
                  <c:v>46.722200000000001</c:v>
                </c:pt>
                <c:pt idx="8">
                  <c:v>1168.6967999999999</c:v>
                </c:pt>
                <c:pt idx="9">
                  <c:v>1156.5942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1-44B8-A897-C61211734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600984"/>
        <c:axId val="608594752"/>
      </c:scatterChart>
      <c:valAx>
        <c:axId val="608600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94752"/>
        <c:crosses val="autoZero"/>
        <c:crossBetween val="midCat"/>
      </c:valAx>
      <c:valAx>
        <c:axId val="60859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00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YASIC Standard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Sheet5!$H$90:$H$101</c:f>
              <c:numCache>
                <c:formatCode>General</c:formatCode>
                <c:ptCount val="12"/>
                <c:pt idx="0">
                  <c:v>152.4</c:v>
                </c:pt>
                <c:pt idx="1">
                  <c:v>152.4</c:v>
                </c:pt>
                <c:pt idx="2">
                  <c:v>426.2</c:v>
                </c:pt>
                <c:pt idx="3">
                  <c:v>426.2</c:v>
                </c:pt>
                <c:pt idx="4">
                  <c:v>2013</c:v>
                </c:pt>
                <c:pt idx="5">
                  <c:v>2013</c:v>
                </c:pt>
                <c:pt idx="6">
                  <c:v>4967</c:v>
                </c:pt>
                <c:pt idx="7">
                  <c:v>4967</c:v>
                </c:pt>
                <c:pt idx="8">
                  <c:v>10080</c:v>
                </c:pt>
                <c:pt idx="9">
                  <c:v>10080</c:v>
                </c:pt>
                <c:pt idx="10">
                  <c:v>49990</c:v>
                </c:pt>
                <c:pt idx="11">
                  <c:v>49990</c:v>
                </c:pt>
              </c:numCache>
            </c:numRef>
          </c:xVal>
          <c:yVal>
            <c:numRef>
              <c:f>Sheet5!$I$90:$I$101</c:f>
              <c:numCache>
                <c:formatCode>General</c:formatCode>
                <c:ptCount val="12"/>
                <c:pt idx="0">
                  <c:v>90.793899999999994</c:v>
                </c:pt>
                <c:pt idx="1">
                  <c:v>91.222200000000001</c:v>
                </c:pt>
                <c:pt idx="2">
                  <c:v>169.85300000000001</c:v>
                </c:pt>
                <c:pt idx="3">
                  <c:v>171.66300000000001</c:v>
                </c:pt>
                <c:pt idx="4">
                  <c:v>608.41579999999999</c:v>
                </c:pt>
                <c:pt idx="5">
                  <c:v>607.73500000000001</c:v>
                </c:pt>
                <c:pt idx="6">
                  <c:v>1441.5491999999999</c:v>
                </c:pt>
                <c:pt idx="7">
                  <c:v>1431.9007999999999</c:v>
                </c:pt>
                <c:pt idx="8">
                  <c:v>2767.3438000000001</c:v>
                </c:pt>
                <c:pt idx="9">
                  <c:v>2763.1037999999999</c:v>
                </c:pt>
                <c:pt idx="10">
                  <c:v>12066.329</c:v>
                </c:pt>
                <c:pt idx="11">
                  <c:v>11935.251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F-47AD-BE93-E2A21E24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622712"/>
        <c:axId val="606624352"/>
      </c:scatterChart>
      <c:valAx>
        <c:axId val="606622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24352"/>
        <c:crosses val="autoZero"/>
        <c:crossBetween val="midCat"/>
      </c:valAx>
      <c:valAx>
        <c:axId val="60662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22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YASIC Standard 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1260336498088304"/>
                  <c:y val="-9.675925925925926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Sheet5!$K$90:$K$101</c:f>
              <c:numCache>
                <c:formatCode>General</c:formatCode>
                <c:ptCount val="12"/>
                <c:pt idx="0">
                  <c:v>180100</c:v>
                </c:pt>
                <c:pt idx="1">
                  <c:v>180100</c:v>
                </c:pt>
                <c:pt idx="2">
                  <c:v>240100</c:v>
                </c:pt>
                <c:pt idx="3">
                  <c:v>240100</c:v>
                </c:pt>
                <c:pt idx="4">
                  <c:v>200500</c:v>
                </c:pt>
                <c:pt idx="5">
                  <c:v>200500</c:v>
                </c:pt>
                <c:pt idx="6">
                  <c:v>200700</c:v>
                </c:pt>
                <c:pt idx="7">
                  <c:v>200700</c:v>
                </c:pt>
                <c:pt idx="8">
                  <c:v>202000</c:v>
                </c:pt>
                <c:pt idx="9">
                  <c:v>202000</c:v>
                </c:pt>
                <c:pt idx="10">
                  <c:v>0</c:v>
                </c:pt>
                <c:pt idx="11">
                  <c:v>0</c:v>
                </c:pt>
              </c:numCache>
            </c:numRef>
          </c:xVal>
          <c:yVal>
            <c:numRef>
              <c:f>Sheet5!$L$90:$L$101</c:f>
              <c:numCache>
                <c:formatCode>General</c:formatCode>
                <c:ptCount val="12"/>
                <c:pt idx="0">
                  <c:v>3538.2838999999999</c:v>
                </c:pt>
                <c:pt idx="1">
                  <c:v>3472.6210000000001</c:v>
                </c:pt>
                <c:pt idx="2">
                  <c:v>3998.8420000000001</c:v>
                </c:pt>
                <c:pt idx="3">
                  <c:v>3973.6605</c:v>
                </c:pt>
                <c:pt idx="4">
                  <c:v>3708.5252</c:v>
                </c:pt>
                <c:pt idx="5">
                  <c:v>3622.2973999999999</c:v>
                </c:pt>
                <c:pt idx="6">
                  <c:v>3685.1797999999999</c:v>
                </c:pt>
                <c:pt idx="7">
                  <c:v>3779.8296</c:v>
                </c:pt>
                <c:pt idx="8">
                  <c:v>3714.3755999999998</c:v>
                </c:pt>
                <c:pt idx="9">
                  <c:v>3804.5131999999999</c:v>
                </c:pt>
                <c:pt idx="10">
                  <c:v>1166.1043999999999</c:v>
                </c:pt>
                <c:pt idx="11">
                  <c:v>1240.4482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9F-43C8-82ED-5D24B341D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626648"/>
        <c:axId val="606627632"/>
      </c:scatterChart>
      <c:valAx>
        <c:axId val="606626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27632"/>
        <c:crosses val="autoZero"/>
        <c:crossBetween val="midCat"/>
      </c:valAx>
      <c:valAx>
        <c:axId val="60662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626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YASIC Standard 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Sheet5!$N$90:$N$101</c:f>
              <c:numCache>
                <c:formatCode>General</c:formatCode>
                <c:ptCount val="12"/>
                <c:pt idx="0">
                  <c:v>0.22800000000000001</c:v>
                </c:pt>
                <c:pt idx="1">
                  <c:v>0.22800000000000001</c:v>
                </c:pt>
                <c:pt idx="2">
                  <c:v>0.379</c:v>
                </c:pt>
                <c:pt idx="3">
                  <c:v>0.379</c:v>
                </c:pt>
                <c:pt idx="4">
                  <c:v>0.495</c:v>
                </c:pt>
                <c:pt idx="5">
                  <c:v>0.495</c:v>
                </c:pt>
                <c:pt idx="6">
                  <c:v>2.4900000000000002</c:v>
                </c:pt>
                <c:pt idx="7">
                  <c:v>2.4900000000000002</c:v>
                </c:pt>
                <c:pt idx="8">
                  <c:v>5</c:v>
                </c:pt>
                <c:pt idx="9">
                  <c:v>5</c:v>
                </c:pt>
                <c:pt idx="10">
                  <c:v>20</c:v>
                </c:pt>
                <c:pt idx="11">
                  <c:v>20</c:v>
                </c:pt>
              </c:numCache>
            </c:numRef>
          </c:xVal>
          <c:yVal>
            <c:numRef>
              <c:f>Sheet5!$O$90:$O$101</c:f>
              <c:numCache>
                <c:formatCode>General</c:formatCode>
                <c:ptCount val="12"/>
                <c:pt idx="0">
                  <c:v>67.0398</c:v>
                </c:pt>
                <c:pt idx="1">
                  <c:v>66.964399999999998</c:v>
                </c:pt>
                <c:pt idx="2">
                  <c:v>107.5364</c:v>
                </c:pt>
                <c:pt idx="3">
                  <c:v>105.8222</c:v>
                </c:pt>
                <c:pt idx="4">
                  <c:v>159.18940000000001</c:v>
                </c:pt>
                <c:pt idx="5">
                  <c:v>163.59119999999999</c:v>
                </c:pt>
                <c:pt idx="6">
                  <c:v>700.85940000000005</c:v>
                </c:pt>
                <c:pt idx="7">
                  <c:v>695.37929999999994</c:v>
                </c:pt>
                <c:pt idx="8">
                  <c:v>1355.2818</c:v>
                </c:pt>
                <c:pt idx="9">
                  <c:v>1373.2383</c:v>
                </c:pt>
                <c:pt idx="10">
                  <c:v>4914.8746000000001</c:v>
                </c:pt>
                <c:pt idx="11">
                  <c:v>4884.9441999999999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23-434E-A46D-4668510FD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038000"/>
        <c:axId val="664040296"/>
      </c:scatterChart>
      <c:valAx>
        <c:axId val="66403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40296"/>
        <c:crosses val="autoZero"/>
        <c:crossBetween val="midCat"/>
      </c:valAx>
      <c:valAx>
        <c:axId val="66404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03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123825</xdr:colOff>
      <xdr:row>65</xdr:row>
      <xdr:rowOff>112712</xdr:rowOff>
    </xdr:from>
    <xdr:to>
      <xdr:col>23</xdr:col>
      <xdr:colOff>422275</xdr:colOff>
      <xdr:row>79</xdr:row>
      <xdr:rowOff>188912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FB14A-447A-3939-A69F-58CCFFBA1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133802</xdr:colOff>
      <xdr:row>65</xdr:row>
      <xdr:rowOff>93436</xdr:rowOff>
    </xdr:from>
    <xdr:to>
      <xdr:col>31</xdr:col>
      <xdr:colOff>410481</xdr:colOff>
      <xdr:row>79</xdr:row>
      <xdr:rowOff>169636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3F7365-4D4F-45D9-4D9B-3EAED212B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172356</xdr:colOff>
      <xdr:row>65</xdr:row>
      <xdr:rowOff>111125</xdr:rowOff>
    </xdr:from>
    <xdr:to>
      <xdr:col>39</xdr:col>
      <xdr:colOff>449034</xdr:colOff>
      <xdr:row>79</xdr:row>
      <xdr:rowOff>190047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75A123-02D9-3675-67E5-C5B4B7666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151945</xdr:colOff>
      <xdr:row>65</xdr:row>
      <xdr:rowOff>131989</xdr:rowOff>
    </xdr:from>
    <xdr:to>
      <xdr:col>47</xdr:col>
      <xdr:colOff>437695</xdr:colOff>
      <xdr:row>80</xdr:row>
      <xdr:rowOff>17689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D4B88F-FC7B-836B-A858-34B31D728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142875</xdr:colOff>
      <xdr:row>81</xdr:row>
      <xdr:rowOff>112712</xdr:rowOff>
    </xdr:from>
    <xdr:to>
      <xdr:col>39</xdr:col>
      <xdr:colOff>492125</xdr:colOff>
      <xdr:row>95</xdr:row>
      <xdr:rowOff>188912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E18779-CD54-FAD9-5550-6C4ADEE11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142875</xdr:colOff>
      <xdr:row>97</xdr:row>
      <xdr:rowOff>112712</xdr:rowOff>
    </xdr:from>
    <xdr:to>
      <xdr:col>23</xdr:col>
      <xdr:colOff>492125</xdr:colOff>
      <xdr:row>111</xdr:row>
      <xdr:rowOff>188912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1332E9-20FF-D504-4E7F-147728AD7F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142875</xdr:colOff>
      <xdr:row>97</xdr:row>
      <xdr:rowOff>96837</xdr:rowOff>
    </xdr:from>
    <xdr:to>
      <xdr:col>31</xdr:col>
      <xdr:colOff>492125</xdr:colOff>
      <xdr:row>111</xdr:row>
      <xdr:rowOff>173037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8A8C1B-F0CD-2069-1827-BEDC128956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111125</xdr:colOff>
      <xdr:row>97</xdr:row>
      <xdr:rowOff>112712</xdr:rowOff>
    </xdr:from>
    <xdr:to>
      <xdr:col>39</xdr:col>
      <xdr:colOff>460375</xdr:colOff>
      <xdr:row>111</xdr:row>
      <xdr:rowOff>188912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88F221-CD8F-A6A1-7720-34372E50F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142875</xdr:colOff>
      <xdr:row>97</xdr:row>
      <xdr:rowOff>96837</xdr:rowOff>
    </xdr:from>
    <xdr:to>
      <xdr:col>47</xdr:col>
      <xdr:colOff>492125</xdr:colOff>
      <xdr:row>111</xdr:row>
      <xdr:rowOff>173037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35B3F61-3684-90AE-D75D-519E0A645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CFC7-6DA7-4B06-815B-BBA641CCD65A}">
  <dimension ref="A1:AK101"/>
  <sheetViews>
    <sheetView workbookViewId="0"/>
  </sheetViews>
  <sheetFormatPr baseColWidth="10" defaultColWidth="8.83203125" defaultRowHeight="15" x14ac:dyDescent="0.2"/>
  <cols>
    <col min="2" max="2" width="17.6640625" bestFit="1" customWidth="1"/>
    <col min="3" max="3" width="16.1640625" bestFit="1" customWidth="1"/>
    <col min="4" max="4" width="9.6640625" bestFit="1" customWidth="1"/>
    <col min="8" max="8" width="22.5" bestFit="1" customWidth="1"/>
    <col min="16" max="16" width="16.1640625" bestFit="1" customWidth="1"/>
    <col min="17" max="17" width="9.6640625" bestFit="1" customWidth="1"/>
  </cols>
  <sheetData>
    <row r="1" spans="1:37" x14ac:dyDescent="0.2">
      <c r="B1" s="3" t="s">
        <v>205</v>
      </c>
      <c r="C1" s="3" t="s">
        <v>206</v>
      </c>
      <c r="D1" s="3" t="s">
        <v>207</v>
      </c>
      <c r="E1" s="3" t="s">
        <v>208</v>
      </c>
      <c r="F1" s="3"/>
      <c r="G1" s="3" t="s">
        <v>209</v>
      </c>
      <c r="H1" s="3" t="s">
        <v>210</v>
      </c>
      <c r="I1" s="3" t="s">
        <v>211</v>
      </c>
      <c r="J1" s="3"/>
      <c r="K1" s="3"/>
      <c r="L1" s="3" t="s">
        <v>212</v>
      </c>
      <c r="M1" s="3" t="s">
        <v>213</v>
      </c>
      <c r="N1" s="3" t="s">
        <v>211</v>
      </c>
      <c r="O1" s="3"/>
      <c r="P1" s="3"/>
      <c r="Q1" s="3"/>
      <c r="R1" s="3"/>
      <c r="S1" s="3"/>
      <c r="T1" s="3" t="s">
        <v>214</v>
      </c>
      <c r="U1" s="3" t="s">
        <v>215</v>
      </c>
      <c r="V1" s="3" t="s">
        <v>211</v>
      </c>
      <c r="W1" s="3"/>
      <c r="X1" s="3"/>
      <c r="Y1" s="3"/>
      <c r="Z1" s="3"/>
      <c r="AA1" s="3"/>
      <c r="AB1" s="3"/>
      <c r="AC1" s="3"/>
      <c r="AD1" s="3" t="s">
        <v>216</v>
      </c>
      <c r="AE1" s="3" t="s">
        <v>217</v>
      </c>
      <c r="AF1" s="3" t="s">
        <v>211</v>
      </c>
    </row>
    <row r="2" spans="1:37" x14ac:dyDescent="0.2">
      <c r="A2">
        <v>1</v>
      </c>
      <c r="B2" t="s">
        <v>220</v>
      </c>
      <c r="C2" t="s">
        <v>0</v>
      </c>
      <c r="D2" s="1">
        <v>44832</v>
      </c>
      <c r="E2" s="2">
        <v>0.78709490740740751</v>
      </c>
      <c r="F2" t="s">
        <v>1</v>
      </c>
      <c r="G2">
        <v>1.403</v>
      </c>
      <c r="H2">
        <v>0.3412</v>
      </c>
      <c r="I2">
        <v>0.78210000000000002</v>
      </c>
      <c r="J2" t="s">
        <v>2</v>
      </c>
      <c r="K2" t="s">
        <v>3</v>
      </c>
      <c r="L2">
        <v>1.923</v>
      </c>
      <c r="M2">
        <v>107.5538</v>
      </c>
      <c r="N2">
        <v>255.887</v>
      </c>
      <c r="O2" t="s">
        <v>2</v>
      </c>
      <c r="P2" t="s">
        <v>103</v>
      </c>
      <c r="Q2" s="1">
        <v>44832</v>
      </c>
      <c r="R2" s="2">
        <v>0.78709490740740751</v>
      </c>
      <c r="S2" t="s">
        <v>104</v>
      </c>
      <c r="T2">
        <v>1.163</v>
      </c>
      <c r="U2">
        <v>3443.5486999999998</v>
      </c>
      <c r="V2">
        <v>0</v>
      </c>
      <c r="X2" t="s">
        <v>3</v>
      </c>
      <c r="Y2">
        <v>1.9</v>
      </c>
      <c r="Z2">
        <v>3.3485999999999998</v>
      </c>
      <c r="AA2">
        <v>0</v>
      </c>
      <c r="AC2" t="s">
        <v>105</v>
      </c>
      <c r="AD2">
        <v>2.2229999999999999</v>
      </c>
      <c r="AE2">
        <v>65.249600000000001</v>
      </c>
      <c r="AF2">
        <v>0.25290000000000001</v>
      </c>
      <c r="AG2" t="s">
        <v>2</v>
      </c>
      <c r="AH2">
        <v>6</v>
      </c>
      <c r="AI2">
        <v>2.6760000000000002</v>
      </c>
      <c r="AJ2">
        <v>43.182000000000002</v>
      </c>
      <c r="AK2">
        <v>16.433199999999999</v>
      </c>
    </row>
    <row r="3" spans="1:37" x14ac:dyDescent="0.2">
      <c r="A3">
        <v>2</v>
      </c>
      <c r="B3" t="s">
        <v>220</v>
      </c>
      <c r="C3" t="s">
        <v>4</v>
      </c>
      <c r="D3" s="1">
        <v>44832</v>
      </c>
      <c r="E3" s="2">
        <v>0.79084490740740743</v>
      </c>
      <c r="F3" t="s">
        <v>1</v>
      </c>
      <c r="G3">
        <v>1.403</v>
      </c>
      <c r="H3">
        <v>0.28860000000000002</v>
      </c>
      <c r="I3">
        <v>0.52210000000000001</v>
      </c>
      <c r="J3" t="s">
        <v>2</v>
      </c>
      <c r="K3" t="s">
        <v>3</v>
      </c>
      <c r="L3">
        <v>1.92</v>
      </c>
      <c r="M3">
        <v>92.795000000000002</v>
      </c>
      <c r="N3">
        <v>204.2396</v>
      </c>
      <c r="O3" t="s">
        <v>2</v>
      </c>
      <c r="P3" t="s">
        <v>106</v>
      </c>
      <c r="Q3" s="1">
        <v>44832</v>
      </c>
      <c r="R3" s="2">
        <v>0.79084490740740743</v>
      </c>
      <c r="S3" t="s">
        <v>104</v>
      </c>
      <c r="T3">
        <v>1.1599999999999999</v>
      </c>
      <c r="U3">
        <v>3193.884</v>
      </c>
      <c r="V3">
        <v>0</v>
      </c>
      <c r="X3" t="s">
        <v>3</v>
      </c>
      <c r="Y3">
        <v>1.893</v>
      </c>
      <c r="Z3">
        <v>2.7665999999999999</v>
      </c>
      <c r="AA3">
        <v>0</v>
      </c>
      <c r="AC3" t="s">
        <v>105</v>
      </c>
      <c r="AD3">
        <v>2.2229999999999999</v>
      </c>
      <c r="AE3">
        <v>56.245199999999997</v>
      </c>
      <c r="AF3">
        <v>0.22070000000000001</v>
      </c>
      <c r="AG3" t="s">
        <v>2</v>
      </c>
      <c r="AH3">
        <v>6</v>
      </c>
      <c r="AI3">
        <v>2.673</v>
      </c>
      <c r="AJ3">
        <v>31.002400000000002</v>
      </c>
      <c r="AK3">
        <v>11.7981</v>
      </c>
    </row>
    <row r="4" spans="1:37" x14ac:dyDescent="0.2">
      <c r="A4">
        <v>3</v>
      </c>
      <c r="B4" t="s">
        <v>220</v>
      </c>
      <c r="C4" t="s">
        <v>5</v>
      </c>
      <c r="D4" s="1">
        <v>44832</v>
      </c>
      <c r="E4" s="2">
        <v>0.79460648148148139</v>
      </c>
      <c r="F4" t="s">
        <v>1</v>
      </c>
      <c r="G4">
        <v>1.403</v>
      </c>
      <c r="H4">
        <v>0.28689999999999999</v>
      </c>
      <c r="I4">
        <v>0.51370000000000005</v>
      </c>
      <c r="J4" t="s">
        <v>2</v>
      </c>
      <c r="K4" t="s">
        <v>3</v>
      </c>
      <c r="L4">
        <v>1.923</v>
      </c>
      <c r="M4">
        <v>83.880899999999997</v>
      </c>
      <c r="N4">
        <v>173.0454</v>
      </c>
      <c r="O4" t="s">
        <v>2</v>
      </c>
      <c r="P4" t="s">
        <v>107</v>
      </c>
      <c r="Q4" s="1">
        <v>44832</v>
      </c>
      <c r="R4" s="2">
        <v>0.79460648148148139</v>
      </c>
      <c r="S4" t="s">
        <v>104</v>
      </c>
      <c r="T4">
        <v>1.163</v>
      </c>
      <c r="U4">
        <v>3134.6017999999999</v>
      </c>
      <c r="V4">
        <v>0</v>
      </c>
      <c r="X4" t="s">
        <v>3</v>
      </c>
      <c r="Y4">
        <v>0</v>
      </c>
      <c r="Z4">
        <v>0</v>
      </c>
      <c r="AA4">
        <v>0</v>
      </c>
      <c r="AC4" t="s">
        <v>105</v>
      </c>
      <c r="AD4">
        <v>2.226</v>
      </c>
      <c r="AE4">
        <v>55.716099999999997</v>
      </c>
      <c r="AF4">
        <v>0.21879999999999999</v>
      </c>
      <c r="AG4" t="s">
        <v>2</v>
      </c>
      <c r="AH4">
        <v>6</v>
      </c>
      <c r="AI4">
        <v>2.6629999999999998</v>
      </c>
      <c r="AJ4">
        <v>30.971599999999999</v>
      </c>
      <c r="AK4">
        <v>11.7864</v>
      </c>
    </row>
    <row r="5" spans="1:37" x14ac:dyDescent="0.2">
      <c r="A5">
        <v>4</v>
      </c>
      <c r="B5" t="s">
        <v>220</v>
      </c>
      <c r="C5" t="s">
        <v>6</v>
      </c>
      <c r="D5" s="1">
        <v>44832</v>
      </c>
      <c r="E5" s="2">
        <v>0.79835648148148142</v>
      </c>
      <c r="F5" t="s">
        <v>1</v>
      </c>
      <c r="G5">
        <v>1.41</v>
      </c>
      <c r="H5">
        <v>0.3664</v>
      </c>
      <c r="I5">
        <v>0.90659999999999996</v>
      </c>
      <c r="J5" t="s">
        <v>2</v>
      </c>
      <c r="K5" t="s">
        <v>3</v>
      </c>
      <c r="L5">
        <v>1.9330000000000001</v>
      </c>
      <c r="M5">
        <v>106.34480000000001</v>
      </c>
      <c r="N5">
        <v>251.65620000000001</v>
      </c>
      <c r="O5" t="s">
        <v>2</v>
      </c>
      <c r="P5" t="s">
        <v>108</v>
      </c>
      <c r="Q5" s="1">
        <v>44832</v>
      </c>
      <c r="R5" s="2">
        <v>0.79835648148148142</v>
      </c>
      <c r="S5" t="s">
        <v>104</v>
      </c>
      <c r="T5">
        <v>1.17</v>
      </c>
      <c r="U5">
        <v>3523.4861999999998</v>
      </c>
      <c r="V5">
        <v>0</v>
      </c>
      <c r="X5" t="s">
        <v>3</v>
      </c>
      <c r="Y5">
        <v>1.91</v>
      </c>
      <c r="Z5">
        <v>4.6848000000000001</v>
      </c>
      <c r="AA5">
        <v>0</v>
      </c>
      <c r="AC5" t="s">
        <v>105</v>
      </c>
      <c r="AD5">
        <v>2.2330000000000001</v>
      </c>
      <c r="AE5">
        <v>67.144199999999998</v>
      </c>
      <c r="AF5">
        <v>0.25969999999999999</v>
      </c>
      <c r="AG5" t="s">
        <v>2</v>
      </c>
      <c r="AH5">
        <v>6</v>
      </c>
      <c r="AI5">
        <v>2.6760000000000002</v>
      </c>
      <c r="AJ5">
        <v>41.969900000000003</v>
      </c>
      <c r="AK5">
        <v>15.9719</v>
      </c>
    </row>
    <row r="6" spans="1:37" x14ac:dyDescent="0.2">
      <c r="A6">
        <v>5</v>
      </c>
      <c r="B6" t="s">
        <v>220</v>
      </c>
      <c r="C6" t="s">
        <v>7</v>
      </c>
      <c r="D6" s="1">
        <v>44832</v>
      </c>
      <c r="E6" s="2">
        <v>0.80211805555555549</v>
      </c>
      <c r="F6" t="s">
        <v>1</v>
      </c>
      <c r="G6">
        <v>1.403</v>
      </c>
      <c r="H6">
        <v>0.2984</v>
      </c>
      <c r="I6">
        <v>0.57050000000000001</v>
      </c>
      <c r="J6" t="s">
        <v>2</v>
      </c>
      <c r="K6" t="s">
        <v>3</v>
      </c>
      <c r="L6">
        <v>1.923</v>
      </c>
      <c r="M6">
        <v>83.412999999999997</v>
      </c>
      <c r="N6">
        <v>171.40799999999999</v>
      </c>
      <c r="O6" t="s">
        <v>2</v>
      </c>
      <c r="P6" t="s">
        <v>109</v>
      </c>
      <c r="Q6" s="1">
        <v>44832</v>
      </c>
      <c r="R6" s="2">
        <v>0.80211805555555549</v>
      </c>
      <c r="S6" t="s">
        <v>104</v>
      </c>
      <c r="T6">
        <v>1.1599999999999999</v>
      </c>
      <c r="U6">
        <v>3125.125</v>
      </c>
      <c r="V6">
        <v>0</v>
      </c>
      <c r="X6" t="s">
        <v>3</v>
      </c>
      <c r="Y6">
        <v>0</v>
      </c>
      <c r="Z6">
        <v>0</v>
      </c>
      <c r="AA6">
        <v>0</v>
      </c>
      <c r="AC6" t="s">
        <v>105</v>
      </c>
      <c r="AD6">
        <v>2.226</v>
      </c>
      <c r="AE6">
        <v>55.316099999999999</v>
      </c>
      <c r="AF6">
        <v>0.21740000000000001</v>
      </c>
      <c r="AG6" t="s">
        <v>2</v>
      </c>
      <c r="AH6">
        <v>6</v>
      </c>
      <c r="AI6">
        <v>2.67</v>
      </c>
      <c r="AJ6">
        <v>27.248699999999999</v>
      </c>
      <c r="AK6">
        <v>10.3696</v>
      </c>
    </row>
    <row r="7" spans="1:37" x14ac:dyDescent="0.2">
      <c r="A7">
        <v>6</v>
      </c>
      <c r="B7" t="s">
        <v>220</v>
      </c>
      <c r="C7" t="s">
        <v>8</v>
      </c>
      <c r="D7" s="1">
        <v>44832</v>
      </c>
      <c r="E7" s="2">
        <v>0.80586805555555552</v>
      </c>
      <c r="F7" t="s">
        <v>1</v>
      </c>
      <c r="G7">
        <v>1.403</v>
      </c>
      <c r="H7">
        <v>0.3589</v>
      </c>
      <c r="I7">
        <v>0.86960000000000004</v>
      </c>
      <c r="J7" t="s">
        <v>2</v>
      </c>
      <c r="K7" t="s">
        <v>3</v>
      </c>
      <c r="L7">
        <v>1.92</v>
      </c>
      <c r="M7">
        <v>100.3836</v>
      </c>
      <c r="N7">
        <v>230.7954</v>
      </c>
      <c r="O7" t="s">
        <v>2</v>
      </c>
      <c r="P7" t="s">
        <v>110</v>
      </c>
      <c r="Q7" s="1">
        <v>44832</v>
      </c>
      <c r="R7" s="2">
        <v>0.80586805555555552</v>
      </c>
      <c r="S7" t="s">
        <v>104</v>
      </c>
      <c r="T7">
        <v>1.1599999999999999</v>
      </c>
      <c r="U7">
        <v>3358.2049999999999</v>
      </c>
      <c r="V7">
        <v>0</v>
      </c>
      <c r="X7" t="s">
        <v>3</v>
      </c>
      <c r="Y7">
        <v>1.89</v>
      </c>
      <c r="Z7">
        <v>2.9243999999999999</v>
      </c>
      <c r="AA7">
        <v>0</v>
      </c>
      <c r="AC7" t="s">
        <v>105</v>
      </c>
      <c r="AD7">
        <v>2.2200000000000002</v>
      </c>
      <c r="AE7">
        <v>65.1327</v>
      </c>
      <c r="AF7">
        <v>0.2525</v>
      </c>
      <c r="AG7" t="s">
        <v>2</v>
      </c>
      <c r="AH7">
        <v>6</v>
      </c>
      <c r="AI7">
        <v>2.673</v>
      </c>
      <c r="AJ7">
        <v>42.645000000000003</v>
      </c>
      <c r="AK7">
        <v>16.2288</v>
      </c>
    </row>
    <row r="8" spans="1:37" x14ac:dyDescent="0.2">
      <c r="A8">
        <v>7</v>
      </c>
      <c r="B8" t="s">
        <v>220</v>
      </c>
      <c r="C8" t="s">
        <v>9</v>
      </c>
      <c r="D8" s="1">
        <v>44832</v>
      </c>
      <c r="E8" s="2">
        <v>0.80961805555555555</v>
      </c>
      <c r="F8" t="s">
        <v>1</v>
      </c>
      <c r="G8">
        <v>1.41</v>
      </c>
      <c r="H8">
        <v>0.32719999999999999</v>
      </c>
      <c r="I8">
        <v>0.71289999999999998</v>
      </c>
      <c r="J8" t="s">
        <v>2</v>
      </c>
      <c r="K8" t="s">
        <v>3</v>
      </c>
      <c r="L8">
        <v>1.9259999999999999</v>
      </c>
      <c r="M8">
        <v>93.509299999999996</v>
      </c>
      <c r="N8">
        <v>206.73929999999999</v>
      </c>
      <c r="O8" t="s">
        <v>2</v>
      </c>
      <c r="P8" t="s">
        <v>111</v>
      </c>
      <c r="Q8" s="1">
        <v>44832</v>
      </c>
      <c r="R8" s="2">
        <v>0.80961805555555555</v>
      </c>
      <c r="S8" t="s">
        <v>104</v>
      </c>
      <c r="T8">
        <v>1.1659999999999999</v>
      </c>
      <c r="U8">
        <v>3204.0272</v>
      </c>
      <c r="V8">
        <v>0</v>
      </c>
      <c r="X8" t="s">
        <v>3</v>
      </c>
      <c r="Y8">
        <v>1.883</v>
      </c>
      <c r="Z8">
        <v>3.2639999999999998</v>
      </c>
      <c r="AA8">
        <v>0</v>
      </c>
      <c r="AC8" t="s">
        <v>105</v>
      </c>
      <c r="AD8">
        <v>2.226</v>
      </c>
      <c r="AE8">
        <v>61.67</v>
      </c>
      <c r="AF8">
        <v>0.24010000000000001</v>
      </c>
      <c r="AG8" t="s">
        <v>2</v>
      </c>
      <c r="AH8">
        <v>6</v>
      </c>
      <c r="AI8">
        <v>2.67</v>
      </c>
      <c r="AJ8">
        <v>34.030200000000001</v>
      </c>
      <c r="AK8">
        <v>12.9504</v>
      </c>
    </row>
    <row r="9" spans="1:37" x14ac:dyDescent="0.2">
      <c r="A9">
        <v>8</v>
      </c>
      <c r="B9" t="s">
        <v>220</v>
      </c>
      <c r="C9" t="s">
        <v>10</v>
      </c>
      <c r="D9" s="1">
        <v>44832</v>
      </c>
      <c r="E9" s="2">
        <v>0.81337962962962962</v>
      </c>
      <c r="F9" t="s">
        <v>1</v>
      </c>
      <c r="G9">
        <v>1.413</v>
      </c>
      <c r="H9">
        <v>0.36059999999999998</v>
      </c>
      <c r="I9">
        <v>0.878</v>
      </c>
      <c r="J9" t="s">
        <v>2</v>
      </c>
      <c r="K9" t="s">
        <v>3</v>
      </c>
      <c r="L9">
        <v>1.9359999999999999</v>
      </c>
      <c r="M9">
        <v>94.233000000000004</v>
      </c>
      <c r="N9">
        <v>209.27180000000001</v>
      </c>
      <c r="O9" t="s">
        <v>2</v>
      </c>
      <c r="P9" t="s">
        <v>112</v>
      </c>
      <c r="Q9" s="1">
        <v>44832</v>
      </c>
      <c r="R9" s="2">
        <v>0.81337962962962962</v>
      </c>
      <c r="S9" t="s">
        <v>104</v>
      </c>
      <c r="T9">
        <v>1.17</v>
      </c>
      <c r="U9">
        <v>3344.1682999999998</v>
      </c>
      <c r="V9">
        <v>0</v>
      </c>
      <c r="X9" t="s">
        <v>3</v>
      </c>
      <c r="Y9">
        <v>1.903</v>
      </c>
      <c r="Z9">
        <v>3.6741000000000001</v>
      </c>
      <c r="AA9">
        <v>0</v>
      </c>
      <c r="AC9" t="s">
        <v>105</v>
      </c>
      <c r="AD9">
        <v>2.2360000000000002</v>
      </c>
      <c r="AE9">
        <v>62.036799999999999</v>
      </c>
      <c r="AF9">
        <v>0.2414</v>
      </c>
      <c r="AG9" t="s">
        <v>2</v>
      </c>
      <c r="AH9">
        <v>6</v>
      </c>
      <c r="AI9">
        <v>2.69</v>
      </c>
      <c r="AJ9">
        <v>35.963000000000001</v>
      </c>
      <c r="AK9">
        <v>13.6859</v>
      </c>
    </row>
    <row r="10" spans="1:37" x14ac:dyDescent="0.2">
      <c r="A10">
        <v>9</v>
      </c>
      <c r="B10" t="s">
        <v>220</v>
      </c>
      <c r="C10" t="s">
        <v>11</v>
      </c>
      <c r="D10" s="1">
        <v>44832</v>
      </c>
      <c r="E10" s="2">
        <v>0.81714120370370369</v>
      </c>
      <c r="F10" t="s">
        <v>1</v>
      </c>
      <c r="G10">
        <v>1.403</v>
      </c>
      <c r="H10">
        <v>0.28870000000000001</v>
      </c>
      <c r="I10">
        <v>0.52259999999999995</v>
      </c>
      <c r="J10" t="s">
        <v>2</v>
      </c>
      <c r="K10" t="s">
        <v>3</v>
      </c>
      <c r="L10">
        <v>1.923</v>
      </c>
      <c r="M10">
        <v>87.251800000000003</v>
      </c>
      <c r="N10">
        <v>184.8416</v>
      </c>
      <c r="O10" t="s">
        <v>2</v>
      </c>
      <c r="P10" t="s">
        <v>113</v>
      </c>
      <c r="Q10" s="1">
        <v>44832</v>
      </c>
      <c r="R10" s="2">
        <v>0.81714120370370369</v>
      </c>
      <c r="S10" t="s">
        <v>104</v>
      </c>
      <c r="T10">
        <v>1.163</v>
      </c>
      <c r="U10">
        <v>3100.4319</v>
      </c>
      <c r="V10">
        <v>0</v>
      </c>
      <c r="X10" t="s">
        <v>3</v>
      </c>
      <c r="Y10">
        <v>0</v>
      </c>
      <c r="Z10">
        <v>0</v>
      </c>
      <c r="AA10">
        <v>0</v>
      </c>
      <c r="AC10" t="s">
        <v>105</v>
      </c>
      <c r="AD10">
        <v>2.226</v>
      </c>
      <c r="AE10">
        <v>56.313800000000001</v>
      </c>
      <c r="AF10">
        <v>0.221</v>
      </c>
      <c r="AG10" t="s">
        <v>2</v>
      </c>
      <c r="AH10">
        <v>6</v>
      </c>
      <c r="AI10">
        <v>2.673</v>
      </c>
      <c r="AJ10">
        <v>35.028700000000001</v>
      </c>
      <c r="AK10">
        <v>13.330399999999999</v>
      </c>
    </row>
    <row r="11" spans="1:37" x14ac:dyDescent="0.2">
      <c r="A11">
        <v>10</v>
      </c>
      <c r="B11" t="s">
        <v>220</v>
      </c>
      <c r="C11" t="s">
        <v>12</v>
      </c>
      <c r="D11" s="1">
        <v>44832</v>
      </c>
      <c r="E11" s="2">
        <v>0.82089120370370372</v>
      </c>
      <c r="F11" t="s">
        <v>1</v>
      </c>
      <c r="G11">
        <v>1.403</v>
      </c>
      <c r="H11">
        <v>0.3725</v>
      </c>
      <c r="I11">
        <v>0.93679999999999997</v>
      </c>
      <c r="J11" t="s">
        <v>2</v>
      </c>
      <c r="K11" t="s">
        <v>3</v>
      </c>
      <c r="L11">
        <v>1.92</v>
      </c>
      <c r="M11">
        <v>99.592200000000005</v>
      </c>
      <c r="N11">
        <v>228.02590000000001</v>
      </c>
      <c r="O11" t="s">
        <v>2</v>
      </c>
      <c r="P11" t="s">
        <v>114</v>
      </c>
      <c r="Q11" s="1">
        <v>44832</v>
      </c>
      <c r="R11" s="2">
        <v>0.82089120370370372</v>
      </c>
      <c r="S11" t="s">
        <v>104</v>
      </c>
      <c r="T11">
        <v>1.1599999999999999</v>
      </c>
      <c r="U11">
        <v>3299.6260000000002</v>
      </c>
      <c r="V11">
        <v>0</v>
      </c>
      <c r="X11" t="s">
        <v>3</v>
      </c>
      <c r="Y11">
        <v>0</v>
      </c>
      <c r="Z11">
        <v>0</v>
      </c>
      <c r="AA11">
        <v>0</v>
      </c>
      <c r="AC11" t="s">
        <v>105</v>
      </c>
      <c r="AD11">
        <v>2.2229999999999999</v>
      </c>
      <c r="AE11">
        <v>65.107900000000001</v>
      </c>
      <c r="AF11">
        <v>0.25240000000000001</v>
      </c>
      <c r="AG11" t="s">
        <v>2</v>
      </c>
      <c r="AH11">
        <v>6</v>
      </c>
      <c r="AI11">
        <v>2.673</v>
      </c>
      <c r="AJ11">
        <v>40.295200000000001</v>
      </c>
      <c r="AK11">
        <v>15.3346</v>
      </c>
    </row>
    <row r="12" spans="1:37" x14ac:dyDescent="0.2">
      <c r="A12">
        <v>11</v>
      </c>
      <c r="B12" t="s">
        <v>219</v>
      </c>
      <c r="C12" t="s">
        <v>13</v>
      </c>
      <c r="D12" s="1">
        <v>44832</v>
      </c>
      <c r="E12" s="2">
        <v>0.82465277777777779</v>
      </c>
      <c r="F12" t="s">
        <v>1</v>
      </c>
      <c r="G12">
        <v>0</v>
      </c>
      <c r="H12">
        <v>0</v>
      </c>
      <c r="I12">
        <v>0</v>
      </c>
      <c r="J12" t="s">
        <v>2</v>
      </c>
      <c r="K12" t="s">
        <v>3</v>
      </c>
      <c r="L12">
        <v>1.913</v>
      </c>
      <c r="M12">
        <v>42.834800000000001</v>
      </c>
      <c r="N12">
        <v>29.407599999999999</v>
      </c>
      <c r="O12" t="s">
        <v>2</v>
      </c>
      <c r="P12" t="s">
        <v>115</v>
      </c>
      <c r="Q12" s="1">
        <v>44832</v>
      </c>
      <c r="R12" s="2">
        <v>0.82465277777777779</v>
      </c>
      <c r="S12" t="s">
        <v>104</v>
      </c>
      <c r="T12">
        <v>1.1559999999999999</v>
      </c>
      <c r="U12">
        <v>1189.5070000000001</v>
      </c>
      <c r="V12">
        <v>0</v>
      </c>
      <c r="X12" t="s">
        <v>3</v>
      </c>
      <c r="Y12">
        <v>0</v>
      </c>
      <c r="Z12">
        <v>0</v>
      </c>
      <c r="AA12">
        <v>0</v>
      </c>
      <c r="AC12" t="s">
        <v>105</v>
      </c>
      <c r="AD12">
        <v>2.2130000000000001</v>
      </c>
      <c r="AE12">
        <v>19.188199999999998</v>
      </c>
      <c r="AF12">
        <v>8.8200000000000001E-2</v>
      </c>
      <c r="AG12" t="s">
        <v>2</v>
      </c>
      <c r="AH12">
        <v>6</v>
      </c>
      <c r="AI12">
        <v>0</v>
      </c>
      <c r="AJ12">
        <v>0</v>
      </c>
      <c r="AK12">
        <v>0</v>
      </c>
    </row>
    <row r="13" spans="1:37" x14ac:dyDescent="0.2">
      <c r="A13">
        <v>12</v>
      </c>
      <c r="B13" t="s">
        <v>220</v>
      </c>
      <c r="C13" t="s">
        <v>14</v>
      </c>
      <c r="D13" s="1">
        <v>44832</v>
      </c>
      <c r="E13" s="2">
        <v>0.82840277777777782</v>
      </c>
      <c r="F13" t="s">
        <v>1</v>
      </c>
      <c r="G13">
        <v>1.4</v>
      </c>
      <c r="H13">
        <v>0.316</v>
      </c>
      <c r="I13">
        <v>0.65749999999999997</v>
      </c>
      <c r="J13" t="s">
        <v>2</v>
      </c>
      <c r="K13" t="s">
        <v>3</v>
      </c>
      <c r="L13">
        <v>1.92</v>
      </c>
      <c r="M13">
        <v>90.039100000000005</v>
      </c>
      <c r="N13">
        <v>194.59559999999999</v>
      </c>
      <c r="O13" t="s">
        <v>2</v>
      </c>
      <c r="P13" t="s">
        <v>116</v>
      </c>
      <c r="Q13" s="1">
        <v>44832</v>
      </c>
      <c r="R13" s="2">
        <v>0.82840277777777782</v>
      </c>
      <c r="S13" t="s">
        <v>104</v>
      </c>
      <c r="T13">
        <v>1.1599999999999999</v>
      </c>
      <c r="U13">
        <v>3125.5167999999999</v>
      </c>
      <c r="V13">
        <v>0</v>
      </c>
      <c r="X13" t="s">
        <v>3</v>
      </c>
      <c r="Y13">
        <v>1.903</v>
      </c>
      <c r="Z13">
        <v>2.6890000000000001</v>
      </c>
      <c r="AA13">
        <v>0</v>
      </c>
      <c r="AC13" t="s">
        <v>105</v>
      </c>
      <c r="AD13">
        <v>2.2229999999999999</v>
      </c>
      <c r="AE13">
        <v>56.7014</v>
      </c>
      <c r="AF13">
        <v>0.22239999999999999</v>
      </c>
      <c r="AG13" t="s">
        <v>2</v>
      </c>
      <c r="AH13">
        <v>6</v>
      </c>
      <c r="AI13">
        <v>2.67</v>
      </c>
      <c r="AJ13">
        <v>37.055900000000001</v>
      </c>
      <c r="AK13">
        <v>14.101800000000001</v>
      </c>
    </row>
    <row r="14" spans="1:37" x14ac:dyDescent="0.2">
      <c r="A14">
        <v>13</v>
      </c>
      <c r="B14" t="s">
        <v>222</v>
      </c>
      <c r="C14" t="s">
        <v>15</v>
      </c>
      <c r="D14" s="1">
        <v>44832</v>
      </c>
      <c r="E14" s="2">
        <v>0.83215277777777785</v>
      </c>
      <c r="F14" t="s">
        <v>1</v>
      </c>
      <c r="G14">
        <v>1.4</v>
      </c>
      <c r="H14">
        <v>0.21640000000000001</v>
      </c>
      <c r="I14">
        <v>0.16520000000000001</v>
      </c>
      <c r="J14" t="s">
        <v>2</v>
      </c>
      <c r="K14" t="s">
        <v>3</v>
      </c>
      <c r="L14">
        <v>1.9259999999999999</v>
      </c>
      <c r="M14">
        <v>90.793899999999994</v>
      </c>
      <c r="N14">
        <v>197.23689999999999</v>
      </c>
      <c r="O14" t="s">
        <v>2</v>
      </c>
      <c r="P14" t="s">
        <v>117</v>
      </c>
      <c r="Q14" s="1">
        <v>44832</v>
      </c>
      <c r="R14" s="2">
        <v>0.83215277777777785</v>
      </c>
      <c r="S14" t="s">
        <v>104</v>
      </c>
      <c r="T14">
        <v>1.163</v>
      </c>
      <c r="U14">
        <v>3538.2838999999999</v>
      </c>
      <c r="V14">
        <v>0</v>
      </c>
      <c r="X14" t="s">
        <v>3</v>
      </c>
      <c r="Y14">
        <v>0</v>
      </c>
      <c r="Z14">
        <v>0</v>
      </c>
      <c r="AA14">
        <v>0</v>
      </c>
      <c r="AC14" t="s">
        <v>105</v>
      </c>
      <c r="AD14">
        <v>2.226</v>
      </c>
      <c r="AE14">
        <v>67.0398</v>
      </c>
      <c r="AF14">
        <v>0.25929999999999997</v>
      </c>
      <c r="AG14" t="s">
        <v>2</v>
      </c>
      <c r="AH14">
        <v>6</v>
      </c>
      <c r="AI14">
        <v>2.6560000000000001</v>
      </c>
      <c r="AJ14">
        <v>32.539200000000001</v>
      </c>
      <c r="AK14">
        <v>12.382999999999999</v>
      </c>
    </row>
    <row r="15" spans="1:37" x14ac:dyDescent="0.2">
      <c r="A15">
        <v>14</v>
      </c>
      <c r="B15" t="s">
        <v>220</v>
      </c>
      <c r="C15" t="s">
        <v>16</v>
      </c>
      <c r="D15" s="1">
        <v>44832</v>
      </c>
      <c r="E15" s="2">
        <v>0.83591435185185192</v>
      </c>
      <c r="F15" t="s">
        <v>1</v>
      </c>
      <c r="G15">
        <v>1.4059999999999999</v>
      </c>
      <c r="H15">
        <v>0.372</v>
      </c>
      <c r="I15">
        <v>0.93430000000000002</v>
      </c>
      <c r="J15" t="s">
        <v>2</v>
      </c>
      <c r="K15" t="s">
        <v>3</v>
      </c>
      <c r="L15">
        <v>1.923</v>
      </c>
      <c r="M15">
        <v>101.8445</v>
      </c>
      <c r="N15">
        <v>235.90770000000001</v>
      </c>
      <c r="O15" t="s">
        <v>2</v>
      </c>
      <c r="P15" t="s">
        <v>118</v>
      </c>
      <c r="Q15" s="1">
        <v>44832</v>
      </c>
      <c r="R15" s="2">
        <v>0.83591435185185192</v>
      </c>
      <c r="S15" t="s">
        <v>104</v>
      </c>
      <c r="T15">
        <v>1.163</v>
      </c>
      <c r="U15">
        <v>3322.6725000000001</v>
      </c>
      <c r="V15">
        <v>0</v>
      </c>
      <c r="X15" t="s">
        <v>3</v>
      </c>
      <c r="Y15">
        <v>1.9</v>
      </c>
      <c r="Z15">
        <v>3.2858000000000001</v>
      </c>
      <c r="AA15">
        <v>0</v>
      </c>
      <c r="AC15" t="s">
        <v>105</v>
      </c>
      <c r="AD15">
        <v>2.226</v>
      </c>
      <c r="AE15">
        <v>69.297399999999996</v>
      </c>
      <c r="AF15">
        <v>0.26740000000000003</v>
      </c>
      <c r="AG15" t="s">
        <v>2</v>
      </c>
      <c r="AH15">
        <v>6</v>
      </c>
      <c r="AI15">
        <v>2.6629999999999998</v>
      </c>
      <c r="AJ15">
        <v>41.302799999999998</v>
      </c>
      <c r="AK15">
        <v>15.718</v>
      </c>
    </row>
    <row r="16" spans="1:37" x14ac:dyDescent="0.2">
      <c r="A16">
        <v>15</v>
      </c>
      <c r="B16" t="s">
        <v>221</v>
      </c>
      <c r="C16" t="s">
        <v>17</v>
      </c>
      <c r="D16" s="1">
        <v>44832</v>
      </c>
      <c r="E16" s="2">
        <v>0.83967592592592588</v>
      </c>
      <c r="F16" t="s">
        <v>1</v>
      </c>
      <c r="G16">
        <v>1.4</v>
      </c>
      <c r="H16">
        <v>0.66100000000000003</v>
      </c>
      <c r="I16">
        <v>2.3628</v>
      </c>
      <c r="J16" t="s">
        <v>2</v>
      </c>
      <c r="K16" t="s">
        <v>3</v>
      </c>
      <c r="L16">
        <v>1.923</v>
      </c>
      <c r="M16">
        <v>169.85300000000001</v>
      </c>
      <c r="N16">
        <v>473.89850000000001</v>
      </c>
      <c r="O16" t="s">
        <v>2</v>
      </c>
      <c r="P16" t="s">
        <v>119</v>
      </c>
      <c r="Q16" s="1">
        <v>44832</v>
      </c>
      <c r="R16" s="2">
        <v>0.83967592592592588</v>
      </c>
      <c r="S16" t="s">
        <v>104</v>
      </c>
      <c r="T16">
        <v>1.163</v>
      </c>
      <c r="U16">
        <v>3998.8420000000001</v>
      </c>
      <c r="V16">
        <v>0</v>
      </c>
      <c r="X16" t="s">
        <v>3</v>
      </c>
      <c r="Y16">
        <v>1.8859999999999999</v>
      </c>
      <c r="Z16">
        <v>5.2775999999999996</v>
      </c>
      <c r="AA16">
        <v>0</v>
      </c>
      <c r="AC16" t="s">
        <v>105</v>
      </c>
      <c r="AD16">
        <v>2.2200000000000002</v>
      </c>
      <c r="AE16">
        <v>107.5364</v>
      </c>
      <c r="AF16">
        <v>0.40410000000000001</v>
      </c>
      <c r="AG16" t="s">
        <v>2</v>
      </c>
      <c r="AH16">
        <v>6</v>
      </c>
      <c r="AI16">
        <v>2.6629999999999998</v>
      </c>
      <c r="AJ16">
        <v>51.7988</v>
      </c>
      <c r="AK16">
        <v>19.712299999999999</v>
      </c>
    </row>
    <row r="17" spans="1:37" x14ac:dyDescent="0.2">
      <c r="A17">
        <v>16</v>
      </c>
      <c r="B17" t="s">
        <v>220</v>
      </c>
      <c r="C17" t="s">
        <v>18</v>
      </c>
      <c r="D17" s="1">
        <v>44832</v>
      </c>
      <c r="E17" s="2">
        <v>0.84342592592592591</v>
      </c>
      <c r="F17" t="s">
        <v>1</v>
      </c>
      <c r="G17">
        <v>1.4</v>
      </c>
      <c r="H17">
        <v>0.33360000000000001</v>
      </c>
      <c r="I17">
        <v>0.74450000000000005</v>
      </c>
      <c r="J17" t="s">
        <v>2</v>
      </c>
      <c r="K17" t="s">
        <v>3</v>
      </c>
      <c r="L17">
        <v>1.92</v>
      </c>
      <c r="M17">
        <v>96.419200000000004</v>
      </c>
      <c r="N17">
        <v>216.92230000000001</v>
      </c>
      <c r="O17" t="s">
        <v>2</v>
      </c>
      <c r="P17" t="s">
        <v>120</v>
      </c>
      <c r="Q17" s="1">
        <v>44832</v>
      </c>
      <c r="R17" s="2">
        <v>0.84342592592592591</v>
      </c>
      <c r="S17" t="s">
        <v>104</v>
      </c>
      <c r="T17">
        <v>1.1599999999999999</v>
      </c>
      <c r="U17">
        <v>3241.9110999999998</v>
      </c>
      <c r="V17">
        <v>0</v>
      </c>
      <c r="X17" t="s">
        <v>3</v>
      </c>
      <c r="Y17">
        <v>1.87</v>
      </c>
      <c r="Z17">
        <v>2.7665999999999999</v>
      </c>
      <c r="AA17">
        <v>0</v>
      </c>
      <c r="AC17" t="s">
        <v>105</v>
      </c>
      <c r="AD17">
        <v>2.2229999999999999</v>
      </c>
      <c r="AE17">
        <v>64.590199999999996</v>
      </c>
      <c r="AF17">
        <v>0.25059999999999999</v>
      </c>
      <c r="AG17" t="s">
        <v>2</v>
      </c>
      <c r="AH17">
        <v>6</v>
      </c>
      <c r="AI17">
        <v>2.6560000000000001</v>
      </c>
      <c r="AJ17">
        <v>39.641399999999997</v>
      </c>
      <c r="AK17">
        <v>15.085800000000001</v>
      </c>
    </row>
    <row r="18" spans="1:37" x14ac:dyDescent="0.2">
      <c r="A18">
        <v>17</v>
      </c>
      <c r="B18" t="s">
        <v>223</v>
      </c>
      <c r="C18" t="s">
        <v>19</v>
      </c>
      <c r="D18" s="1">
        <v>44832</v>
      </c>
      <c r="E18" s="2">
        <v>0.84717592592592583</v>
      </c>
      <c r="F18" t="s">
        <v>1</v>
      </c>
      <c r="G18">
        <v>1.403</v>
      </c>
      <c r="H18">
        <v>4.5819999999999999</v>
      </c>
      <c r="I18">
        <v>21.7441</v>
      </c>
      <c r="J18" t="s">
        <v>2</v>
      </c>
      <c r="K18" t="s">
        <v>3</v>
      </c>
      <c r="L18">
        <v>1.923</v>
      </c>
      <c r="M18">
        <v>608.41579999999999</v>
      </c>
      <c r="N18">
        <v>2008.6169</v>
      </c>
      <c r="O18" t="s">
        <v>2</v>
      </c>
      <c r="P18" t="s">
        <v>121</v>
      </c>
      <c r="Q18" s="1">
        <v>44832</v>
      </c>
      <c r="R18" s="2">
        <v>0.84717592592592583</v>
      </c>
      <c r="S18" t="s">
        <v>104</v>
      </c>
      <c r="T18">
        <v>1.163</v>
      </c>
      <c r="U18">
        <v>3708.5252</v>
      </c>
      <c r="V18">
        <v>0</v>
      </c>
      <c r="X18" t="s">
        <v>3</v>
      </c>
      <c r="Y18">
        <v>1.89</v>
      </c>
      <c r="Z18">
        <v>16.6646</v>
      </c>
      <c r="AA18">
        <v>0</v>
      </c>
      <c r="AC18" t="s">
        <v>105</v>
      </c>
      <c r="AD18">
        <v>2.2200000000000002</v>
      </c>
      <c r="AE18">
        <v>159.18940000000001</v>
      </c>
      <c r="AF18">
        <v>0.58879999999999999</v>
      </c>
      <c r="AG18" t="s">
        <v>2</v>
      </c>
      <c r="AH18">
        <v>6</v>
      </c>
      <c r="AI18">
        <v>2.6429999999999998</v>
      </c>
      <c r="AJ18">
        <v>3.7145000000000001</v>
      </c>
      <c r="AK18">
        <v>1.4136</v>
      </c>
    </row>
    <row r="19" spans="1:37" x14ac:dyDescent="0.2">
      <c r="A19">
        <v>18</v>
      </c>
      <c r="B19" t="s">
        <v>220</v>
      </c>
      <c r="C19" t="s">
        <v>20</v>
      </c>
      <c r="D19" s="1">
        <v>44832</v>
      </c>
      <c r="E19" s="2">
        <v>0.85092592592592586</v>
      </c>
      <c r="F19" t="s">
        <v>1</v>
      </c>
      <c r="G19">
        <v>1.4</v>
      </c>
      <c r="H19">
        <v>0.38590000000000002</v>
      </c>
      <c r="I19">
        <v>1.0029999999999999</v>
      </c>
      <c r="J19" t="s">
        <v>2</v>
      </c>
      <c r="K19" t="s">
        <v>3</v>
      </c>
      <c r="L19">
        <v>1.92</v>
      </c>
      <c r="M19">
        <v>100.8193</v>
      </c>
      <c r="N19">
        <v>232.3201</v>
      </c>
      <c r="O19" t="s">
        <v>2</v>
      </c>
      <c r="P19" t="s">
        <v>122</v>
      </c>
      <c r="Q19" s="1">
        <v>44832</v>
      </c>
      <c r="R19" s="2">
        <v>0.85092592592592586</v>
      </c>
      <c r="S19" t="s">
        <v>104</v>
      </c>
      <c r="T19">
        <v>1.1599999999999999</v>
      </c>
      <c r="U19">
        <v>3270.9076</v>
      </c>
      <c r="V19">
        <v>0</v>
      </c>
      <c r="X19" t="s">
        <v>3</v>
      </c>
      <c r="Y19">
        <v>0</v>
      </c>
      <c r="Z19">
        <v>0</v>
      </c>
      <c r="AA19">
        <v>0</v>
      </c>
      <c r="AC19" t="s">
        <v>105</v>
      </c>
      <c r="AD19">
        <v>2.2229999999999999</v>
      </c>
      <c r="AE19">
        <v>67.015199999999993</v>
      </c>
      <c r="AF19">
        <v>0.25919999999999999</v>
      </c>
      <c r="AG19" t="s">
        <v>2</v>
      </c>
      <c r="AH19">
        <v>6</v>
      </c>
      <c r="AI19">
        <v>2.66</v>
      </c>
      <c r="AJ19">
        <v>41.247</v>
      </c>
      <c r="AK19">
        <v>15.6968</v>
      </c>
    </row>
    <row r="20" spans="1:37" x14ac:dyDescent="0.2">
      <c r="A20">
        <v>19</v>
      </c>
      <c r="B20" t="s">
        <v>224</v>
      </c>
      <c r="C20" t="s">
        <v>21</v>
      </c>
      <c r="D20" s="1">
        <v>44832</v>
      </c>
      <c r="E20" s="2">
        <v>0.85468749999999993</v>
      </c>
      <c r="F20" t="s">
        <v>1</v>
      </c>
      <c r="G20">
        <v>1.403</v>
      </c>
      <c r="H20">
        <v>46.089799999999997</v>
      </c>
      <c r="I20">
        <v>226.91540000000001</v>
      </c>
      <c r="J20" t="s">
        <v>2</v>
      </c>
      <c r="K20" t="s">
        <v>3</v>
      </c>
      <c r="L20">
        <v>1.923</v>
      </c>
      <c r="M20">
        <v>1441.5491999999999</v>
      </c>
      <c r="N20">
        <v>4924.1062000000002</v>
      </c>
      <c r="O20" t="s">
        <v>2</v>
      </c>
      <c r="P20" t="s">
        <v>123</v>
      </c>
      <c r="Q20" s="1">
        <v>44832</v>
      </c>
      <c r="R20" s="2">
        <v>0.85468749999999993</v>
      </c>
      <c r="S20" t="s">
        <v>104</v>
      </c>
      <c r="T20">
        <v>1.1599999999999999</v>
      </c>
      <c r="U20">
        <v>3685.1797999999999</v>
      </c>
      <c r="V20">
        <v>0</v>
      </c>
      <c r="X20" t="s">
        <v>3</v>
      </c>
      <c r="Y20">
        <v>1.8859999999999999</v>
      </c>
      <c r="Z20">
        <v>36.502600000000001</v>
      </c>
      <c r="AA20">
        <v>0</v>
      </c>
      <c r="AC20" t="s">
        <v>105</v>
      </c>
      <c r="AD20">
        <v>2.2160000000000002</v>
      </c>
      <c r="AE20">
        <v>700.85940000000005</v>
      </c>
      <c r="AF20">
        <v>2.5251999999999999</v>
      </c>
      <c r="AG20" t="s">
        <v>2</v>
      </c>
      <c r="AH20">
        <v>6</v>
      </c>
      <c r="AI20">
        <v>0</v>
      </c>
      <c r="AJ20">
        <v>0</v>
      </c>
      <c r="AK20">
        <v>0</v>
      </c>
    </row>
    <row r="21" spans="1:37" x14ac:dyDescent="0.2">
      <c r="A21">
        <v>20</v>
      </c>
      <c r="B21" t="s">
        <v>220</v>
      </c>
      <c r="C21" t="s">
        <v>22</v>
      </c>
      <c r="D21" s="1">
        <v>44832</v>
      </c>
      <c r="E21" s="2">
        <v>0.85843749999999996</v>
      </c>
      <c r="F21" t="s">
        <v>1</v>
      </c>
      <c r="G21">
        <v>1.4</v>
      </c>
      <c r="H21">
        <v>0.32790000000000002</v>
      </c>
      <c r="I21">
        <v>0.71630000000000005</v>
      </c>
      <c r="J21" t="s">
        <v>2</v>
      </c>
      <c r="K21" t="s">
        <v>3</v>
      </c>
      <c r="L21">
        <v>1.923</v>
      </c>
      <c r="M21">
        <v>89.769000000000005</v>
      </c>
      <c r="N21">
        <v>193.65039999999999</v>
      </c>
      <c r="O21" t="s">
        <v>2</v>
      </c>
      <c r="P21" t="s">
        <v>124</v>
      </c>
      <c r="Q21" s="1">
        <v>44832</v>
      </c>
      <c r="R21" s="2">
        <v>0.85843749999999996</v>
      </c>
      <c r="S21" t="s">
        <v>104</v>
      </c>
      <c r="T21">
        <v>1.1599999999999999</v>
      </c>
      <c r="U21">
        <v>3100.4198000000001</v>
      </c>
      <c r="V21">
        <v>0</v>
      </c>
      <c r="X21" t="s">
        <v>3</v>
      </c>
      <c r="Y21">
        <v>1.893</v>
      </c>
      <c r="Z21">
        <v>3.0872000000000002</v>
      </c>
      <c r="AA21">
        <v>0</v>
      </c>
      <c r="AC21" t="s">
        <v>105</v>
      </c>
      <c r="AD21">
        <v>2.2229999999999999</v>
      </c>
      <c r="AE21">
        <v>59.180999999999997</v>
      </c>
      <c r="AF21">
        <v>0.23119999999999999</v>
      </c>
      <c r="AG21" t="s">
        <v>2</v>
      </c>
      <c r="AH21">
        <v>6</v>
      </c>
      <c r="AI21">
        <v>2.6659999999999999</v>
      </c>
      <c r="AJ21">
        <v>34.012599999999999</v>
      </c>
      <c r="AK21">
        <v>12.9437</v>
      </c>
    </row>
    <row r="22" spans="1:37" x14ac:dyDescent="0.2">
      <c r="A22">
        <v>21</v>
      </c>
      <c r="B22" t="s">
        <v>225</v>
      </c>
      <c r="C22" t="s">
        <v>23</v>
      </c>
      <c r="D22" s="1">
        <v>44832</v>
      </c>
      <c r="E22" s="2">
        <v>0.86219907407407403</v>
      </c>
      <c r="F22" t="s">
        <v>1</v>
      </c>
      <c r="G22">
        <v>1.403</v>
      </c>
      <c r="H22">
        <v>1168.6967999999999</v>
      </c>
      <c r="I22">
        <v>5775.9117999999999</v>
      </c>
      <c r="J22" t="s">
        <v>2</v>
      </c>
      <c r="K22" t="s">
        <v>3</v>
      </c>
      <c r="L22">
        <v>1.9330000000000001</v>
      </c>
      <c r="M22">
        <v>2767.3438000000001</v>
      </c>
      <c r="N22">
        <v>9563.6273000000001</v>
      </c>
      <c r="O22" t="s">
        <v>2</v>
      </c>
      <c r="P22" t="s">
        <v>125</v>
      </c>
      <c r="Q22" s="1">
        <v>44832</v>
      </c>
      <c r="R22" s="2">
        <v>0.86219907407407403</v>
      </c>
      <c r="S22" t="s">
        <v>104</v>
      </c>
      <c r="T22">
        <v>1.163</v>
      </c>
      <c r="U22">
        <v>3714.3755999999998</v>
      </c>
      <c r="V22">
        <v>0</v>
      </c>
      <c r="X22" t="s">
        <v>3</v>
      </c>
      <c r="Y22">
        <v>1.8859999999999999</v>
      </c>
      <c r="Z22">
        <v>70.196600000000004</v>
      </c>
      <c r="AA22">
        <v>0</v>
      </c>
      <c r="AC22" t="s">
        <v>105</v>
      </c>
      <c r="AD22">
        <v>2.2229999999999999</v>
      </c>
      <c r="AE22">
        <v>1355.2818</v>
      </c>
      <c r="AF22">
        <v>4.8647999999999998</v>
      </c>
      <c r="AG22" t="s">
        <v>2</v>
      </c>
      <c r="AH22">
        <v>6</v>
      </c>
      <c r="AI22">
        <v>0</v>
      </c>
      <c r="AJ22">
        <v>0</v>
      </c>
      <c r="AK22">
        <v>0</v>
      </c>
    </row>
    <row r="23" spans="1:37" x14ac:dyDescent="0.2">
      <c r="A23">
        <v>22</v>
      </c>
      <c r="B23" t="s">
        <v>220</v>
      </c>
      <c r="C23" t="s">
        <v>24</v>
      </c>
      <c r="D23" s="1">
        <v>44832</v>
      </c>
      <c r="E23" s="2">
        <v>0.86596064814814822</v>
      </c>
      <c r="F23" t="s">
        <v>1</v>
      </c>
      <c r="G23">
        <v>1.41</v>
      </c>
      <c r="H23">
        <v>4.2409999999999997</v>
      </c>
      <c r="I23">
        <v>20.058599999999998</v>
      </c>
      <c r="J23" t="s">
        <v>2</v>
      </c>
      <c r="K23" t="s">
        <v>3</v>
      </c>
      <c r="L23">
        <v>1.9259999999999999</v>
      </c>
      <c r="M23">
        <v>102.3</v>
      </c>
      <c r="N23">
        <v>237.5017</v>
      </c>
      <c r="O23" t="s">
        <v>2</v>
      </c>
      <c r="P23" t="s">
        <v>126</v>
      </c>
      <c r="Q23" s="1">
        <v>44832</v>
      </c>
      <c r="R23" s="2">
        <v>0.86596064814814822</v>
      </c>
      <c r="S23" t="s">
        <v>104</v>
      </c>
      <c r="T23">
        <v>1.1659999999999999</v>
      </c>
      <c r="U23">
        <v>3117.1192000000001</v>
      </c>
      <c r="V23">
        <v>0</v>
      </c>
      <c r="X23" t="s">
        <v>3</v>
      </c>
      <c r="Y23">
        <v>1.89</v>
      </c>
      <c r="Z23">
        <v>3.7039</v>
      </c>
      <c r="AA23">
        <v>0</v>
      </c>
      <c r="AC23" t="s">
        <v>105</v>
      </c>
      <c r="AD23">
        <v>2.226</v>
      </c>
      <c r="AE23">
        <v>65.548900000000003</v>
      </c>
      <c r="AF23">
        <v>0.254</v>
      </c>
      <c r="AG23" t="s">
        <v>2</v>
      </c>
      <c r="AH23">
        <v>6</v>
      </c>
      <c r="AI23">
        <v>2.6760000000000002</v>
      </c>
      <c r="AJ23">
        <v>36.551000000000002</v>
      </c>
      <c r="AK23">
        <v>13.909700000000001</v>
      </c>
    </row>
    <row r="24" spans="1:37" x14ac:dyDescent="0.2">
      <c r="A24">
        <v>23</v>
      </c>
      <c r="B24" t="s">
        <v>226</v>
      </c>
      <c r="C24" t="s">
        <v>25</v>
      </c>
      <c r="D24" s="1">
        <v>44832</v>
      </c>
      <c r="E24" s="2">
        <v>0.86972222222222229</v>
      </c>
      <c r="F24" t="s">
        <v>1</v>
      </c>
      <c r="G24">
        <v>1.39</v>
      </c>
      <c r="H24">
        <v>9950.0195000000003</v>
      </c>
      <c r="I24">
        <v>49181.599300000002</v>
      </c>
      <c r="J24" t="s">
        <v>2</v>
      </c>
      <c r="K24" t="s">
        <v>3</v>
      </c>
      <c r="L24">
        <v>1.9259999999999999</v>
      </c>
      <c r="M24">
        <v>12066.329</v>
      </c>
      <c r="N24">
        <v>42104.745000000003</v>
      </c>
      <c r="O24" t="s">
        <v>2</v>
      </c>
      <c r="P24" t="s">
        <v>127</v>
      </c>
      <c r="Q24" s="1">
        <v>44832</v>
      </c>
      <c r="R24" s="2">
        <v>0.86972222222222229</v>
      </c>
      <c r="S24" t="s">
        <v>104</v>
      </c>
      <c r="T24">
        <v>1.1599999999999999</v>
      </c>
      <c r="U24">
        <v>1166.1043999999999</v>
      </c>
      <c r="V24">
        <v>0</v>
      </c>
      <c r="X24" t="s">
        <v>3</v>
      </c>
      <c r="Y24">
        <v>1.863</v>
      </c>
      <c r="Z24">
        <v>259.41340000000002</v>
      </c>
      <c r="AA24">
        <v>0</v>
      </c>
      <c r="AC24" t="s">
        <v>105</v>
      </c>
      <c r="AD24">
        <v>2.226</v>
      </c>
      <c r="AE24">
        <v>4914.8746000000001</v>
      </c>
      <c r="AF24">
        <v>17.590599999999998</v>
      </c>
      <c r="AG24" t="s">
        <v>2</v>
      </c>
      <c r="AH24">
        <v>6</v>
      </c>
      <c r="AI24">
        <v>0</v>
      </c>
      <c r="AJ24">
        <v>0</v>
      </c>
      <c r="AK24">
        <v>0</v>
      </c>
    </row>
    <row r="25" spans="1:37" x14ac:dyDescent="0.2">
      <c r="A25">
        <v>24</v>
      </c>
      <c r="B25" t="s">
        <v>220</v>
      </c>
      <c r="C25" t="s">
        <v>26</v>
      </c>
      <c r="D25" s="1">
        <v>44832</v>
      </c>
      <c r="E25" s="2">
        <v>0.87347222222222232</v>
      </c>
      <c r="F25" t="s">
        <v>1</v>
      </c>
      <c r="G25">
        <v>1.4</v>
      </c>
      <c r="H25">
        <v>0.60440000000000005</v>
      </c>
      <c r="I25">
        <v>2.0830000000000002</v>
      </c>
      <c r="J25" t="s">
        <v>2</v>
      </c>
      <c r="K25" t="s">
        <v>3</v>
      </c>
      <c r="L25">
        <v>1.92</v>
      </c>
      <c r="M25">
        <v>96.255499999999998</v>
      </c>
      <c r="N25">
        <v>216.3494</v>
      </c>
      <c r="O25" t="s">
        <v>2</v>
      </c>
      <c r="P25" t="s">
        <v>128</v>
      </c>
      <c r="Q25" s="1">
        <v>44832</v>
      </c>
      <c r="R25" s="2">
        <v>0.87347222222222232</v>
      </c>
      <c r="S25" t="s">
        <v>104</v>
      </c>
      <c r="T25">
        <v>1.1599999999999999</v>
      </c>
      <c r="U25">
        <v>3203.0542</v>
      </c>
      <c r="V25">
        <v>0</v>
      </c>
      <c r="X25" t="s">
        <v>3</v>
      </c>
      <c r="Y25">
        <v>1.893</v>
      </c>
      <c r="Z25">
        <v>3.5626000000000002</v>
      </c>
      <c r="AA25">
        <v>0</v>
      </c>
      <c r="AC25" t="s">
        <v>105</v>
      </c>
      <c r="AD25">
        <v>2.2200000000000002</v>
      </c>
      <c r="AE25">
        <v>65.567999999999998</v>
      </c>
      <c r="AF25">
        <v>0.25409999999999999</v>
      </c>
      <c r="AG25" t="s">
        <v>2</v>
      </c>
      <c r="AH25">
        <v>6</v>
      </c>
      <c r="AI25">
        <v>2.6629999999999998</v>
      </c>
      <c r="AJ25">
        <v>37.145000000000003</v>
      </c>
      <c r="AK25">
        <v>14.1357</v>
      </c>
    </row>
    <row r="26" spans="1:37" x14ac:dyDescent="0.2">
      <c r="A26">
        <v>25</v>
      </c>
      <c r="B26" t="s">
        <v>220</v>
      </c>
      <c r="C26" t="s">
        <v>27</v>
      </c>
      <c r="D26" s="1">
        <v>44832</v>
      </c>
      <c r="E26" s="2">
        <v>0.87722222222222224</v>
      </c>
      <c r="F26" t="s">
        <v>1</v>
      </c>
      <c r="G26">
        <v>1.41</v>
      </c>
      <c r="H26">
        <v>0.34050000000000002</v>
      </c>
      <c r="I26">
        <v>0.77859999999999996</v>
      </c>
      <c r="J26" t="s">
        <v>2</v>
      </c>
      <c r="K26" t="s">
        <v>3</v>
      </c>
      <c r="L26">
        <v>1.93</v>
      </c>
      <c r="M26">
        <v>83.866799999999998</v>
      </c>
      <c r="N26">
        <v>172.99610000000001</v>
      </c>
      <c r="O26" t="s">
        <v>2</v>
      </c>
      <c r="P26" t="s">
        <v>129</v>
      </c>
      <c r="Q26" s="1">
        <v>44832</v>
      </c>
      <c r="R26" s="2">
        <v>0.87722222222222224</v>
      </c>
      <c r="S26" t="s">
        <v>104</v>
      </c>
      <c r="T26">
        <v>1.1659999999999999</v>
      </c>
      <c r="U26">
        <v>3105.1792</v>
      </c>
      <c r="V26">
        <v>0</v>
      </c>
      <c r="X26" t="s">
        <v>3</v>
      </c>
      <c r="Y26">
        <v>0</v>
      </c>
      <c r="Z26">
        <v>0</v>
      </c>
      <c r="AA26">
        <v>0</v>
      </c>
      <c r="AC26" t="s">
        <v>105</v>
      </c>
      <c r="AD26">
        <v>2.226</v>
      </c>
      <c r="AE26">
        <v>53.984400000000001</v>
      </c>
      <c r="AF26">
        <v>0.21260000000000001</v>
      </c>
      <c r="AG26" t="s">
        <v>2</v>
      </c>
      <c r="AH26">
        <v>6</v>
      </c>
      <c r="AI26">
        <v>2.673</v>
      </c>
      <c r="AJ26">
        <v>32.898000000000003</v>
      </c>
      <c r="AK26">
        <v>12.519500000000001</v>
      </c>
    </row>
    <row r="27" spans="1:37" x14ac:dyDescent="0.2">
      <c r="A27">
        <v>26</v>
      </c>
      <c r="B27" t="s">
        <v>220</v>
      </c>
      <c r="C27" t="s">
        <v>28</v>
      </c>
      <c r="D27" s="1">
        <v>44832</v>
      </c>
      <c r="E27" s="2">
        <v>0.8809837962962962</v>
      </c>
      <c r="F27" t="s">
        <v>1</v>
      </c>
      <c r="G27">
        <v>1.403</v>
      </c>
      <c r="H27">
        <v>0.29320000000000002</v>
      </c>
      <c r="I27">
        <v>0.54479999999999995</v>
      </c>
      <c r="J27" t="s">
        <v>2</v>
      </c>
      <c r="K27" t="s">
        <v>3</v>
      </c>
      <c r="L27">
        <v>1.9159999999999999</v>
      </c>
      <c r="M27">
        <v>83.156800000000004</v>
      </c>
      <c r="N27">
        <v>170.51150000000001</v>
      </c>
      <c r="O27" t="s">
        <v>2</v>
      </c>
      <c r="P27" t="s">
        <v>130</v>
      </c>
      <c r="Q27" s="1">
        <v>44832</v>
      </c>
      <c r="R27" s="2">
        <v>0.8809837962962962</v>
      </c>
      <c r="S27" t="s">
        <v>104</v>
      </c>
      <c r="T27">
        <v>1.1599999999999999</v>
      </c>
      <c r="U27">
        <v>3008.9679999999998</v>
      </c>
      <c r="V27">
        <v>0</v>
      </c>
      <c r="X27" t="s">
        <v>3</v>
      </c>
      <c r="Y27">
        <v>1.893</v>
      </c>
      <c r="Z27">
        <v>2.6816</v>
      </c>
      <c r="AA27">
        <v>0</v>
      </c>
      <c r="AC27" t="s">
        <v>105</v>
      </c>
      <c r="AD27">
        <v>2.2200000000000002</v>
      </c>
      <c r="AE27">
        <v>54</v>
      </c>
      <c r="AF27">
        <v>0.2127</v>
      </c>
      <c r="AG27" t="s">
        <v>2</v>
      </c>
      <c r="AH27">
        <v>6</v>
      </c>
      <c r="AI27">
        <v>2.653</v>
      </c>
      <c r="AJ27">
        <v>34.956699999999998</v>
      </c>
      <c r="AK27">
        <v>13.303000000000001</v>
      </c>
    </row>
    <row r="28" spans="1:37" x14ac:dyDescent="0.2">
      <c r="A28">
        <v>27</v>
      </c>
      <c r="B28" t="s">
        <v>219</v>
      </c>
      <c r="C28" t="s">
        <v>29</v>
      </c>
      <c r="D28" s="1">
        <v>44832</v>
      </c>
      <c r="E28" s="2">
        <v>0.88473379629629623</v>
      </c>
      <c r="F28" t="s">
        <v>1</v>
      </c>
      <c r="G28">
        <v>0</v>
      </c>
      <c r="H28">
        <v>0</v>
      </c>
      <c r="I28">
        <v>0</v>
      </c>
      <c r="J28" t="s">
        <v>2</v>
      </c>
      <c r="K28" t="s">
        <v>3</v>
      </c>
      <c r="L28">
        <v>1.9159999999999999</v>
      </c>
      <c r="M28">
        <v>39.374299999999998</v>
      </c>
      <c r="N28">
        <v>17.297799999999999</v>
      </c>
      <c r="O28" t="s">
        <v>2</v>
      </c>
      <c r="P28" t="s">
        <v>131</v>
      </c>
      <c r="Q28" s="1">
        <v>44832</v>
      </c>
      <c r="R28" s="2">
        <v>0.88473379629629623</v>
      </c>
      <c r="S28" t="s">
        <v>104</v>
      </c>
      <c r="T28">
        <v>1.1559999999999999</v>
      </c>
      <c r="U28">
        <v>1165.4472000000001</v>
      </c>
      <c r="V28">
        <v>0</v>
      </c>
      <c r="X28" t="s">
        <v>3</v>
      </c>
      <c r="Y28">
        <v>0</v>
      </c>
      <c r="Z28">
        <v>0</v>
      </c>
      <c r="AA28">
        <v>0</v>
      </c>
      <c r="AC28" t="s">
        <v>105</v>
      </c>
      <c r="AD28">
        <v>2.2160000000000002</v>
      </c>
      <c r="AE28">
        <v>16.123000000000001</v>
      </c>
      <c r="AF28">
        <v>7.7299999999999994E-2</v>
      </c>
      <c r="AG28" t="s">
        <v>2</v>
      </c>
      <c r="AH28">
        <v>6</v>
      </c>
      <c r="AI28">
        <v>0</v>
      </c>
      <c r="AJ28">
        <v>0</v>
      </c>
      <c r="AK28">
        <v>0</v>
      </c>
    </row>
    <row r="29" spans="1:37" x14ac:dyDescent="0.2">
      <c r="A29">
        <v>28</v>
      </c>
      <c r="B29" t="s">
        <v>220</v>
      </c>
      <c r="C29" t="s">
        <v>30</v>
      </c>
      <c r="D29" s="1">
        <v>44832</v>
      </c>
      <c r="E29" s="2">
        <v>0.88848379629629637</v>
      </c>
      <c r="F29" t="s">
        <v>1</v>
      </c>
      <c r="G29">
        <v>1.403</v>
      </c>
      <c r="H29">
        <v>0.37569999999999998</v>
      </c>
      <c r="I29">
        <v>0.9526</v>
      </c>
      <c r="J29" t="s">
        <v>2</v>
      </c>
      <c r="K29" t="s">
        <v>3</v>
      </c>
      <c r="L29">
        <v>1.923</v>
      </c>
      <c r="M29">
        <v>92.766999999999996</v>
      </c>
      <c r="N29">
        <v>204.14169999999999</v>
      </c>
      <c r="O29" t="s">
        <v>2</v>
      </c>
      <c r="P29" t="s">
        <v>132</v>
      </c>
      <c r="Q29" s="1">
        <v>44832</v>
      </c>
      <c r="R29" s="2">
        <v>0.88848379629629637</v>
      </c>
      <c r="S29" t="s">
        <v>104</v>
      </c>
      <c r="T29">
        <v>1.1659999999999999</v>
      </c>
      <c r="U29">
        <v>3138.0347999999999</v>
      </c>
      <c r="V29">
        <v>0</v>
      </c>
      <c r="X29" t="s">
        <v>3</v>
      </c>
      <c r="Y29">
        <v>0</v>
      </c>
      <c r="Z29">
        <v>0</v>
      </c>
      <c r="AA29">
        <v>0</v>
      </c>
      <c r="AC29" t="s">
        <v>105</v>
      </c>
      <c r="AD29">
        <v>2.2229999999999999</v>
      </c>
      <c r="AE29">
        <v>58.904600000000002</v>
      </c>
      <c r="AF29">
        <v>0.23019999999999999</v>
      </c>
      <c r="AG29" t="s">
        <v>2</v>
      </c>
      <c r="AH29">
        <v>6</v>
      </c>
      <c r="AI29">
        <v>2.66</v>
      </c>
      <c r="AJ29">
        <v>39.820300000000003</v>
      </c>
      <c r="AK29">
        <v>15.1538</v>
      </c>
    </row>
    <row r="30" spans="1:37" x14ac:dyDescent="0.2">
      <c r="A30">
        <v>29</v>
      </c>
      <c r="B30" t="s">
        <v>222</v>
      </c>
      <c r="C30" t="s">
        <v>31</v>
      </c>
      <c r="D30" s="1">
        <v>44832</v>
      </c>
      <c r="E30" s="2">
        <v>0.8922337962962964</v>
      </c>
      <c r="F30" t="s">
        <v>1</v>
      </c>
      <c r="G30">
        <v>1.393</v>
      </c>
      <c r="H30">
        <v>0.2364</v>
      </c>
      <c r="I30">
        <v>0.26400000000000001</v>
      </c>
      <c r="J30" t="s">
        <v>2</v>
      </c>
      <c r="K30" t="s">
        <v>3</v>
      </c>
      <c r="L30">
        <v>1.9159999999999999</v>
      </c>
      <c r="M30">
        <v>91.222200000000001</v>
      </c>
      <c r="N30">
        <v>198.73570000000001</v>
      </c>
      <c r="O30" t="s">
        <v>2</v>
      </c>
      <c r="P30" t="s">
        <v>133</v>
      </c>
      <c r="Q30" s="1">
        <v>44832</v>
      </c>
      <c r="R30" s="2">
        <v>0.8922337962962964</v>
      </c>
      <c r="S30" t="s">
        <v>104</v>
      </c>
      <c r="T30">
        <v>1.1599999999999999</v>
      </c>
      <c r="U30">
        <v>3472.6210000000001</v>
      </c>
      <c r="V30">
        <v>0</v>
      </c>
      <c r="X30" t="s">
        <v>3</v>
      </c>
      <c r="Y30">
        <v>0</v>
      </c>
      <c r="Z30">
        <v>0</v>
      </c>
      <c r="AA30">
        <v>0</v>
      </c>
      <c r="AC30" t="s">
        <v>105</v>
      </c>
      <c r="AD30">
        <v>2.2160000000000002</v>
      </c>
      <c r="AE30">
        <v>66.964399999999998</v>
      </c>
      <c r="AF30">
        <v>0.25900000000000001</v>
      </c>
      <c r="AG30" t="s">
        <v>2</v>
      </c>
      <c r="AH30">
        <v>6</v>
      </c>
      <c r="AI30">
        <v>2.6629999999999998</v>
      </c>
      <c r="AJ30">
        <v>30.611000000000001</v>
      </c>
      <c r="AK30">
        <v>11.6492</v>
      </c>
    </row>
    <row r="31" spans="1:37" x14ac:dyDescent="0.2">
      <c r="A31">
        <v>30</v>
      </c>
      <c r="B31" t="s">
        <v>220</v>
      </c>
      <c r="C31" t="s">
        <v>32</v>
      </c>
      <c r="D31" s="1">
        <v>44832</v>
      </c>
      <c r="E31" s="2">
        <v>0.89598379629629632</v>
      </c>
      <c r="F31" t="s">
        <v>1</v>
      </c>
      <c r="G31">
        <v>1.4</v>
      </c>
      <c r="H31">
        <v>0.33339999999999997</v>
      </c>
      <c r="I31">
        <v>0.74350000000000005</v>
      </c>
      <c r="J31" t="s">
        <v>2</v>
      </c>
      <c r="K31" t="s">
        <v>3</v>
      </c>
      <c r="L31">
        <v>1.9159999999999999</v>
      </c>
      <c r="M31">
        <v>100.51130000000001</v>
      </c>
      <c r="N31">
        <v>231.2423</v>
      </c>
      <c r="O31" t="s">
        <v>2</v>
      </c>
      <c r="P31" t="s">
        <v>134</v>
      </c>
      <c r="Q31" s="1">
        <v>44832</v>
      </c>
      <c r="R31" s="2">
        <v>0.89598379629629632</v>
      </c>
      <c r="S31" t="s">
        <v>104</v>
      </c>
      <c r="T31">
        <v>1.1599999999999999</v>
      </c>
      <c r="U31">
        <v>3287.6048000000001</v>
      </c>
      <c r="V31">
        <v>0</v>
      </c>
      <c r="X31" t="s">
        <v>3</v>
      </c>
      <c r="Y31">
        <v>1.893</v>
      </c>
      <c r="Z31">
        <v>2.2765</v>
      </c>
      <c r="AA31">
        <v>0</v>
      </c>
      <c r="AC31" t="s">
        <v>105</v>
      </c>
      <c r="AD31">
        <v>2.2160000000000002</v>
      </c>
      <c r="AE31">
        <v>65.589799999999997</v>
      </c>
      <c r="AF31">
        <v>0.25409999999999999</v>
      </c>
      <c r="AG31" t="s">
        <v>2</v>
      </c>
      <c r="AH31">
        <v>6</v>
      </c>
      <c r="AI31">
        <v>2.6629999999999998</v>
      </c>
      <c r="AJ31">
        <v>40.223599999999998</v>
      </c>
      <c r="AK31">
        <v>15.3073</v>
      </c>
    </row>
    <row r="32" spans="1:37" x14ac:dyDescent="0.2">
      <c r="A32">
        <v>31</v>
      </c>
      <c r="B32" t="s">
        <v>221</v>
      </c>
      <c r="C32" t="s">
        <v>33</v>
      </c>
      <c r="D32" s="1">
        <v>44832</v>
      </c>
      <c r="E32" s="2">
        <v>0.89973379629629635</v>
      </c>
      <c r="F32" t="s">
        <v>1</v>
      </c>
      <c r="G32">
        <v>1.403</v>
      </c>
      <c r="H32">
        <v>0.65280000000000005</v>
      </c>
      <c r="I32">
        <v>2.3222999999999998</v>
      </c>
      <c r="J32" t="s">
        <v>2</v>
      </c>
      <c r="K32" t="s">
        <v>3</v>
      </c>
      <c r="L32">
        <v>1.92</v>
      </c>
      <c r="M32">
        <v>171.66300000000001</v>
      </c>
      <c r="N32">
        <v>480.23239999999998</v>
      </c>
      <c r="O32" t="s">
        <v>2</v>
      </c>
      <c r="P32" t="s">
        <v>135</v>
      </c>
      <c r="Q32" s="1">
        <v>44832</v>
      </c>
      <c r="R32" s="2">
        <v>0.89973379629629635</v>
      </c>
      <c r="S32" t="s">
        <v>104</v>
      </c>
      <c r="T32">
        <v>1.163</v>
      </c>
      <c r="U32">
        <v>3973.6605</v>
      </c>
      <c r="V32">
        <v>0</v>
      </c>
      <c r="X32" t="s">
        <v>3</v>
      </c>
      <c r="Y32">
        <v>1.88</v>
      </c>
      <c r="Z32">
        <v>4.7064000000000004</v>
      </c>
      <c r="AA32">
        <v>0</v>
      </c>
      <c r="AC32" t="s">
        <v>105</v>
      </c>
      <c r="AD32">
        <v>2.2200000000000002</v>
      </c>
      <c r="AE32">
        <v>105.8222</v>
      </c>
      <c r="AF32">
        <v>0.39800000000000002</v>
      </c>
      <c r="AG32" t="s">
        <v>2</v>
      </c>
      <c r="AH32">
        <v>6</v>
      </c>
      <c r="AI32">
        <v>2.6629999999999998</v>
      </c>
      <c r="AJ32">
        <v>53.188600000000001</v>
      </c>
      <c r="AK32">
        <v>20.241199999999999</v>
      </c>
    </row>
    <row r="33" spans="1:37" x14ac:dyDescent="0.2">
      <c r="A33">
        <v>32</v>
      </c>
      <c r="B33" t="s">
        <v>220</v>
      </c>
      <c r="C33" t="s">
        <v>34</v>
      </c>
      <c r="D33" s="1">
        <v>44832</v>
      </c>
      <c r="E33" s="2">
        <v>0.90348379629629638</v>
      </c>
      <c r="F33" t="s">
        <v>1</v>
      </c>
      <c r="G33">
        <v>1.3959999999999999</v>
      </c>
      <c r="H33">
        <v>0.30320000000000003</v>
      </c>
      <c r="I33">
        <v>0.59419999999999995</v>
      </c>
      <c r="J33" t="s">
        <v>2</v>
      </c>
      <c r="K33" t="s">
        <v>3</v>
      </c>
      <c r="L33">
        <v>1.9159999999999999</v>
      </c>
      <c r="M33">
        <v>82.703999999999994</v>
      </c>
      <c r="N33">
        <v>168.92689999999999</v>
      </c>
      <c r="O33" t="s">
        <v>2</v>
      </c>
      <c r="P33" t="s">
        <v>136</v>
      </c>
      <c r="Q33" s="1">
        <v>44832</v>
      </c>
      <c r="R33" s="2">
        <v>0.90348379629629638</v>
      </c>
      <c r="S33" t="s">
        <v>104</v>
      </c>
      <c r="T33">
        <v>1.1599999999999999</v>
      </c>
      <c r="U33">
        <v>3040.5718000000002</v>
      </c>
      <c r="V33">
        <v>0</v>
      </c>
      <c r="X33" t="s">
        <v>3</v>
      </c>
      <c r="Y33">
        <v>1.883</v>
      </c>
      <c r="Z33">
        <v>2.4554</v>
      </c>
      <c r="AA33">
        <v>0</v>
      </c>
      <c r="AC33" t="s">
        <v>105</v>
      </c>
      <c r="AD33">
        <v>2.2160000000000002</v>
      </c>
      <c r="AE33">
        <v>56.8812</v>
      </c>
      <c r="AF33">
        <v>0.223</v>
      </c>
      <c r="AG33" t="s">
        <v>2</v>
      </c>
      <c r="AH33">
        <v>6</v>
      </c>
      <c r="AI33">
        <v>2.653</v>
      </c>
      <c r="AJ33">
        <v>31.105599999999999</v>
      </c>
      <c r="AK33">
        <v>11.837400000000001</v>
      </c>
    </row>
    <row r="34" spans="1:37" x14ac:dyDescent="0.2">
      <c r="A34">
        <v>33</v>
      </c>
      <c r="B34" t="s">
        <v>223</v>
      </c>
      <c r="C34" t="s">
        <v>35</v>
      </c>
      <c r="D34" s="1">
        <v>44832</v>
      </c>
      <c r="E34" s="2">
        <v>0.90724537037037034</v>
      </c>
      <c r="F34" t="s">
        <v>1</v>
      </c>
      <c r="G34">
        <v>1.413</v>
      </c>
      <c r="H34">
        <v>4.6113999999999997</v>
      </c>
      <c r="I34">
        <v>21.889500000000002</v>
      </c>
      <c r="J34" t="s">
        <v>2</v>
      </c>
      <c r="K34" t="s">
        <v>3</v>
      </c>
      <c r="L34">
        <v>1.9330000000000001</v>
      </c>
      <c r="M34">
        <v>607.73500000000001</v>
      </c>
      <c r="N34">
        <v>2006.2345</v>
      </c>
      <c r="O34" t="s">
        <v>2</v>
      </c>
      <c r="P34" t="s">
        <v>137</v>
      </c>
      <c r="Q34" s="1">
        <v>44832</v>
      </c>
      <c r="R34" s="2">
        <v>0.90724537037037034</v>
      </c>
      <c r="S34" t="s">
        <v>104</v>
      </c>
      <c r="T34">
        <v>1.173</v>
      </c>
      <c r="U34">
        <v>3622.2973999999999</v>
      </c>
      <c r="V34">
        <v>0</v>
      </c>
      <c r="X34" t="s">
        <v>3</v>
      </c>
      <c r="Y34">
        <v>1.9</v>
      </c>
      <c r="Z34">
        <v>17.8354</v>
      </c>
      <c r="AA34">
        <v>0</v>
      </c>
      <c r="AC34" t="s">
        <v>105</v>
      </c>
      <c r="AD34">
        <v>2.226</v>
      </c>
      <c r="AE34">
        <v>163.59119999999999</v>
      </c>
      <c r="AF34">
        <v>0.60450000000000004</v>
      </c>
      <c r="AG34" t="s">
        <v>2</v>
      </c>
      <c r="AH34">
        <v>6</v>
      </c>
      <c r="AI34">
        <v>0</v>
      </c>
      <c r="AJ34">
        <v>0</v>
      </c>
      <c r="AK34">
        <v>0</v>
      </c>
    </row>
    <row r="35" spans="1:37" x14ac:dyDescent="0.2">
      <c r="A35">
        <v>34</v>
      </c>
      <c r="B35" t="s">
        <v>220</v>
      </c>
      <c r="C35" t="s">
        <v>36</v>
      </c>
      <c r="D35" s="1">
        <v>44832</v>
      </c>
      <c r="E35" s="2">
        <v>0.91100694444444441</v>
      </c>
      <c r="F35" t="s">
        <v>1</v>
      </c>
      <c r="G35">
        <v>1.4</v>
      </c>
      <c r="H35">
        <v>0.36809999999999998</v>
      </c>
      <c r="I35">
        <v>0.91500000000000004</v>
      </c>
      <c r="J35" t="s">
        <v>2</v>
      </c>
      <c r="K35" t="s">
        <v>3</v>
      </c>
      <c r="L35">
        <v>1.92</v>
      </c>
      <c r="M35">
        <v>113.83880000000001</v>
      </c>
      <c r="N35">
        <v>277.8809</v>
      </c>
      <c r="O35" t="s">
        <v>2</v>
      </c>
      <c r="P35" t="s">
        <v>138</v>
      </c>
      <c r="Q35" s="1">
        <v>44832</v>
      </c>
      <c r="R35" s="2">
        <v>0.91100694444444441</v>
      </c>
      <c r="S35" t="s">
        <v>104</v>
      </c>
      <c r="T35">
        <v>1.163</v>
      </c>
      <c r="U35">
        <v>3436.4553999999998</v>
      </c>
      <c r="V35">
        <v>0</v>
      </c>
      <c r="X35" t="s">
        <v>3</v>
      </c>
      <c r="Y35">
        <v>0</v>
      </c>
      <c r="Z35">
        <v>0</v>
      </c>
      <c r="AA35">
        <v>0</v>
      </c>
      <c r="AC35" t="s">
        <v>105</v>
      </c>
      <c r="AD35">
        <v>2.2160000000000002</v>
      </c>
      <c r="AE35">
        <v>71.769800000000004</v>
      </c>
      <c r="AF35">
        <v>0.2762</v>
      </c>
      <c r="AG35" t="s">
        <v>2</v>
      </c>
      <c r="AH35">
        <v>6</v>
      </c>
      <c r="AI35">
        <v>2.67</v>
      </c>
      <c r="AJ35">
        <v>42.705399999999997</v>
      </c>
      <c r="AK35">
        <v>16.251799999999999</v>
      </c>
    </row>
    <row r="36" spans="1:37" x14ac:dyDescent="0.2">
      <c r="A36">
        <v>35</v>
      </c>
      <c r="B36" t="s">
        <v>224</v>
      </c>
      <c r="C36" t="s">
        <v>37</v>
      </c>
      <c r="D36" s="1">
        <v>44832</v>
      </c>
      <c r="E36" s="2">
        <v>0.91476851851851848</v>
      </c>
      <c r="F36" t="s">
        <v>1</v>
      </c>
      <c r="G36">
        <v>1.413</v>
      </c>
      <c r="H36">
        <v>46.722200000000001</v>
      </c>
      <c r="I36">
        <v>230.04130000000001</v>
      </c>
      <c r="J36" t="s">
        <v>2</v>
      </c>
      <c r="K36" t="s">
        <v>3</v>
      </c>
      <c r="L36">
        <v>1.9359999999999999</v>
      </c>
      <c r="M36">
        <v>1431.9007999999999</v>
      </c>
      <c r="N36">
        <v>4890.3423000000003</v>
      </c>
      <c r="O36" t="s">
        <v>2</v>
      </c>
      <c r="P36" t="s">
        <v>139</v>
      </c>
      <c r="Q36" s="1">
        <v>44832</v>
      </c>
      <c r="R36" s="2">
        <v>0.91476851851851848</v>
      </c>
      <c r="S36" t="s">
        <v>104</v>
      </c>
      <c r="T36">
        <v>1.17</v>
      </c>
      <c r="U36">
        <v>3779.8296</v>
      </c>
      <c r="V36">
        <v>0</v>
      </c>
      <c r="X36" t="s">
        <v>3</v>
      </c>
      <c r="Y36">
        <v>1.8959999999999999</v>
      </c>
      <c r="Z36">
        <v>38.4221</v>
      </c>
      <c r="AA36">
        <v>0</v>
      </c>
      <c r="AC36" t="s">
        <v>105</v>
      </c>
      <c r="AD36">
        <v>2.23</v>
      </c>
      <c r="AE36">
        <v>695.37929999999994</v>
      </c>
      <c r="AF36">
        <v>2.5057</v>
      </c>
      <c r="AG36" t="s">
        <v>2</v>
      </c>
      <c r="AH36">
        <v>6</v>
      </c>
      <c r="AI36">
        <v>0</v>
      </c>
      <c r="AJ36">
        <v>0</v>
      </c>
      <c r="AK36">
        <v>0</v>
      </c>
    </row>
    <row r="37" spans="1:37" x14ac:dyDescent="0.2">
      <c r="A37">
        <v>36</v>
      </c>
      <c r="B37" t="s">
        <v>220</v>
      </c>
      <c r="C37" t="s">
        <v>38</v>
      </c>
      <c r="D37" s="1">
        <v>44832</v>
      </c>
      <c r="E37" s="2">
        <v>0.91851851851851851</v>
      </c>
      <c r="F37" t="s">
        <v>1</v>
      </c>
      <c r="G37">
        <v>1.4</v>
      </c>
      <c r="H37">
        <v>0.34260000000000002</v>
      </c>
      <c r="I37">
        <v>0.78900000000000003</v>
      </c>
      <c r="J37" t="s">
        <v>2</v>
      </c>
      <c r="K37" t="s">
        <v>3</v>
      </c>
      <c r="L37">
        <v>1.92</v>
      </c>
      <c r="M37">
        <v>94.351200000000006</v>
      </c>
      <c r="N37">
        <v>209.68539999999999</v>
      </c>
      <c r="O37" t="s">
        <v>2</v>
      </c>
      <c r="P37" t="s">
        <v>140</v>
      </c>
      <c r="Q37" s="1">
        <v>44832</v>
      </c>
      <c r="R37" s="2">
        <v>0.91851851851851851</v>
      </c>
      <c r="S37" t="s">
        <v>104</v>
      </c>
      <c r="T37">
        <v>1.1599999999999999</v>
      </c>
      <c r="U37">
        <v>3170.4587999999999</v>
      </c>
      <c r="V37">
        <v>0</v>
      </c>
      <c r="X37" t="s">
        <v>3</v>
      </c>
      <c r="Y37">
        <v>1.88</v>
      </c>
      <c r="Z37">
        <v>3.5144000000000002</v>
      </c>
      <c r="AA37">
        <v>0</v>
      </c>
      <c r="AC37" t="s">
        <v>105</v>
      </c>
      <c r="AD37">
        <v>2.2200000000000002</v>
      </c>
      <c r="AE37">
        <v>61.304000000000002</v>
      </c>
      <c r="AF37">
        <v>0.23880000000000001</v>
      </c>
      <c r="AG37" t="s">
        <v>2</v>
      </c>
      <c r="AH37">
        <v>6</v>
      </c>
      <c r="AI37">
        <v>2.6629999999999998</v>
      </c>
      <c r="AJ37">
        <v>36.798699999999997</v>
      </c>
      <c r="AK37">
        <v>14.004</v>
      </c>
    </row>
    <row r="38" spans="1:37" x14ac:dyDescent="0.2">
      <c r="A38">
        <v>37</v>
      </c>
      <c r="B38" t="s">
        <v>225</v>
      </c>
      <c r="C38" t="s">
        <v>39</v>
      </c>
      <c r="D38" s="1">
        <v>44832</v>
      </c>
      <c r="E38" s="2">
        <v>0.92226851851851854</v>
      </c>
      <c r="F38" t="s">
        <v>1</v>
      </c>
      <c r="G38">
        <v>1.413</v>
      </c>
      <c r="H38">
        <v>1156.5942</v>
      </c>
      <c r="I38">
        <v>5716.0892000000003</v>
      </c>
      <c r="J38" t="s">
        <v>2</v>
      </c>
      <c r="K38" t="s">
        <v>3</v>
      </c>
      <c r="L38">
        <v>1.94</v>
      </c>
      <c r="M38">
        <v>2763.1037999999999</v>
      </c>
      <c r="N38">
        <v>9548.7896999999994</v>
      </c>
      <c r="O38" t="s">
        <v>2</v>
      </c>
      <c r="P38" t="s">
        <v>141</v>
      </c>
      <c r="Q38" s="1">
        <v>44832</v>
      </c>
      <c r="R38" s="2">
        <v>0.92226851851851854</v>
      </c>
      <c r="S38" t="s">
        <v>104</v>
      </c>
      <c r="T38">
        <v>1.17</v>
      </c>
      <c r="U38">
        <v>3804.5131999999999</v>
      </c>
      <c r="V38">
        <v>0</v>
      </c>
      <c r="X38" t="s">
        <v>3</v>
      </c>
      <c r="Y38">
        <v>1.8959999999999999</v>
      </c>
      <c r="Z38">
        <v>73.709000000000003</v>
      </c>
      <c r="AA38">
        <v>0</v>
      </c>
      <c r="AC38" t="s">
        <v>105</v>
      </c>
      <c r="AD38">
        <v>2.23</v>
      </c>
      <c r="AE38">
        <v>1373.2383</v>
      </c>
      <c r="AF38">
        <v>4.9290000000000003</v>
      </c>
      <c r="AG38" t="s">
        <v>2</v>
      </c>
      <c r="AH38">
        <v>6</v>
      </c>
      <c r="AI38">
        <v>0</v>
      </c>
      <c r="AJ38">
        <v>0</v>
      </c>
      <c r="AK38">
        <v>0</v>
      </c>
    </row>
    <row r="39" spans="1:37" x14ac:dyDescent="0.2">
      <c r="A39">
        <v>38</v>
      </c>
      <c r="B39" t="s">
        <v>220</v>
      </c>
      <c r="C39" t="s">
        <v>40</v>
      </c>
      <c r="D39" s="1">
        <v>44832</v>
      </c>
      <c r="E39" s="2">
        <v>0.92603009259259261</v>
      </c>
      <c r="F39" t="s">
        <v>1</v>
      </c>
      <c r="G39">
        <v>1.403</v>
      </c>
      <c r="H39">
        <v>0.3024</v>
      </c>
      <c r="I39">
        <v>0.59030000000000005</v>
      </c>
      <c r="J39" t="s">
        <v>2</v>
      </c>
      <c r="K39" t="s">
        <v>3</v>
      </c>
      <c r="L39">
        <v>1.923</v>
      </c>
      <c r="M39">
        <v>91.697400000000002</v>
      </c>
      <c r="N39">
        <v>200.39869999999999</v>
      </c>
      <c r="O39" t="s">
        <v>2</v>
      </c>
      <c r="P39" t="s">
        <v>142</v>
      </c>
      <c r="Q39" s="1">
        <v>44832</v>
      </c>
      <c r="R39" s="2">
        <v>0.92603009259259261</v>
      </c>
      <c r="S39" t="s">
        <v>104</v>
      </c>
      <c r="T39">
        <v>1.1659999999999999</v>
      </c>
      <c r="U39">
        <v>3112.8009999999999</v>
      </c>
      <c r="V39">
        <v>0</v>
      </c>
      <c r="X39" t="s">
        <v>3</v>
      </c>
      <c r="Y39">
        <v>1.883</v>
      </c>
      <c r="Z39">
        <v>3.9809000000000001</v>
      </c>
      <c r="AA39">
        <v>0</v>
      </c>
      <c r="AC39" t="s">
        <v>105</v>
      </c>
      <c r="AD39">
        <v>2.2229999999999999</v>
      </c>
      <c r="AE39">
        <v>61.119700000000002</v>
      </c>
      <c r="AF39">
        <v>0.23810000000000001</v>
      </c>
      <c r="AG39" t="s">
        <v>2</v>
      </c>
      <c r="AH39">
        <v>6</v>
      </c>
      <c r="AI39">
        <v>2.67</v>
      </c>
      <c r="AJ39">
        <v>35.938099999999999</v>
      </c>
      <c r="AK39">
        <v>13.676500000000001</v>
      </c>
    </row>
    <row r="40" spans="1:37" x14ac:dyDescent="0.2">
      <c r="A40">
        <v>39</v>
      </c>
      <c r="B40" t="s">
        <v>226</v>
      </c>
      <c r="C40" t="s">
        <v>41</v>
      </c>
      <c r="D40" s="1">
        <v>44832</v>
      </c>
      <c r="E40" s="2">
        <v>0.92979166666666668</v>
      </c>
      <c r="F40" t="s">
        <v>1</v>
      </c>
      <c r="G40">
        <v>1.3859999999999999</v>
      </c>
      <c r="H40">
        <v>9759.4382000000005</v>
      </c>
      <c r="I40">
        <v>48239.564400000003</v>
      </c>
      <c r="J40" t="s">
        <v>2</v>
      </c>
      <c r="K40" t="s">
        <v>3</v>
      </c>
      <c r="L40">
        <v>1.92</v>
      </c>
      <c r="M40">
        <v>11935.251</v>
      </c>
      <c r="N40">
        <v>41646.047100000003</v>
      </c>
      <c r="O40" t="s">
        <v>2</v>
      </c>
      <c r="P40" t="s">
        <v>143</v>
      </c>
      <c r="Q40" s="1">
        <v>44832</v>
      </c>
      <c r="R40" s="2">
        <v>0.92979166666666668</v>
      </c>
      <c r="S40" t="s">
        <v>104</v>
      </c>
      <c r="T40">
        <v>1.1559999999999999</v>
      </c>
      <c r="U40">
        <v>1240.4482</v>
      </c>
      <c r="V40">
        <v>0</v>
      </c>
      <c r="X40" t="s">
        <v>3</v>
      </c>
      <c r="Y40">
        <v>1.8560000000000001</v>
      </c>
      <c r="Z40">
        <v>259.65199999999999</v>
      </c>
      <c r="AA40">
        <v>0</v>
      </c>
      <c r="AC40" t="s">
        <v>105</v>
      </c>
      <c r="AD40">
        <v>2.2229999999999999</v>
      </c>
      <c r="AE40">
        <v>4884.9441999999999</v>
      </c>
      <c r="AF40">
        <v>17.483499999999999</v>
      </c>
      <c r="AG40" t="s">
        <v>2</v>
      </c>
      <c r="AH40">
        <v>6</v>
      </c>
      <c r="AI40">
        <v>0</v>
      </c>
      <c r="AJ40">
        <v>0</v>
      </c>
      <c r="AK40">
        <v>0</v>
      </c>
    </row>
    <row r="41" spans="1:37" x14ac:dyDescent="0.2">
      <c r="A41">
        <v>40</v>
      </c>
      <c r="B41" t="s">
        <v>220</v>
      </c>
      <c r="C41" t="s">
        <v>42</v>
      </c>
      <c r="D41" s="1">
        <v>44832</v>
      </c>
      <c r="E41" s="2">
        <v>0.93355324074074064</v>
      </c>
      <c r="F41" t="s">
        <v>1</v>
      </c>
      <c r="G41">
        <v>1.3959999999999999</v>
      </c>
      <c r="H41">
        <v>0.66390000000000005</v>
      </c>
      <c r="I41">
        <v>2.3772000000000002</v>
      </c>
      <c r="J41" t="s">
        <v>2</v>
      </c>
      <c r="K41" t="s">
        <v>3</v>
      </c>
      <c r="L41">
        <v>1.92</v>
      </c>
      <c r="M41">
        <v>96.959699999999998</v>
      </c>
      <c r="N41">
        <v>218.81370000000001</v>
      </c>
      <c r="O41" t="s">
        <v>2</v>
      </c>
      <c r="P41" t="s">
        <v>144</v>
      </c>
      <c r="Q41" s="1">
        <v>44832</v>
      </c>
      <c r="R41" s="2">
        <v>0.93355324074074064</v>
      </c>
      <c r="S41" t="s">
        <v>104</v>
      </c>
      <c r="T41">
        <v>1.1599999999999999</v>
      </c>
      <c r="U41">
        <v>3160.1660999999999</v>
      </c>
      <c r="V41">
        <v>0</v>
      </c>
      <c r="X41" t="s">
        <v>3</v>
      </c>
      <c r="Y41">
        <v>1.88</v>
      </c>
      <c r="Z41">
        <v>2.2046000000000001</v>
      </c>
      <c r="AA41">
        <v>0</v>
      </c>
      <c r="AC41" t="s">
        <v>105</v>
      </c>
      <c r="AD41">
        <v>2.2160000000000002</v>
      </c>
      <c r="AE41">
        <v>64.434799999999996</v>
      </c>
      <c r="AF41">
        <v>0.25</v>
      </c>
      <c r="AG41" t="s">
        <v>2</v>
      </c>
      <c r="AH41">
        <v>6</v>
      </c>
      <c r="AI41">
        <v>2.6659999999999999</v>
      </c>
      <c r="AJ41">
        <v>34.637799999999999</v>
      </c>
      <c r="AK41">
        <v>13.1816</v>
      </c>
    </row>
    <row r="42" spans="1:37" x14ac:dyDescent="0.2">
      <c r="A42">
        <v>41</v>
      </c>
      <c r="B42" t="s">
        <v>220</v>
      </c>
      <c r="C42" t="s">
        <v>43</v>
      </c>
      <c r="D42" s="1">
        <v>44832</v>
      </c>
      <c r="E42" s="2">
        <v>0.93730324074074067</v>
      </c>
      <c r="F42" t="s">
        <v>1</v>
      </c>
      <c r="G42">
        <v>1.4</v>
      </c>
      <c r="H42">
        <v>0.35060000000000002</v>
      </c>
      <c r="I42">
        <v>0.82850000000000001</v>
      </c>
      <c r="J42" t="s">
        <v>2</v>
      </c>
      <c r="K42" t="s">
        <v>3</v>
      </c>
      <c r="L42">
        <v>1.9159999999999999</v>
      </c>
      <c r="M42">
        <v>85.244200000000006</v>
      </c>
      <c r="N42">
        <v>177.81620000000001</v>
      </c>
      <c r="O42" t="s">
        <v>2</v>
      </c>
      <c r="P42" t="s">
        <v>145</v>
      </c>
      <c r="Q42" s="1">
        <v>44832</v>
      </c>
      <c r="R42" s="2">
        <v>0.93730324074074067</v>
      </c>
      <c r="S42" t="s">
        <v>104</v>
      </c>
      <c r="T42">
        <v>1.1599999999999999</v>
      </c>
      <c r="U42">
        <v>3043.8357999999998</v>
      </c>
      <c r="V42">
        <v>0</v>
      </c>
      <c r="X42" t="s">
        <v>3</v>
      </c>
      <c r="Y42">
        <v>1.93</v>
      </c>
      <c r="Z42">
        <v>2.0209999999999999</v>
      </c>
      <c r="AA42">
        <v>0</v>
      </c>
      <c r="AC42" t="s">
        <v>105</v>
      </c>
      <c r="AD42">
        <v>2.2160000000000002</v>
      </c>
      <c r="AE42">
        <v>55.087600000000002</v>
      </c>
      <c r="AF42">
        <v>0.21659999999999999</v>
      </c>
      <c r="AG42" t="s">
        <v>2</v>
      </c>
      <c r="AH42">
        <v>6</v>
      </c>
      <c r="AI42">
        <v>2.6629999999999998</v>
      </c>
      <c r="AJ42">
        <v>32.518799999999999</v>
      </c>
      <c r="AK42">
        <v>12.3752</v>
      </c>
    </row>
    <row r="43" spans="1:37" x14ac:dyDescent="0.2">
      <c r="A43">
        <v>42</v>
      </c>
      <c r="B43" t="s">
        <v>220</v>
      </c>
      <c r="C43" t="s">
        <v>44</v>
      </c>
      <c r="D43" s="1">
        <v>44832</v>
      </c>
      <c r="E43" s="2">
        <v>0.9410532407407407</v>
      </c>
      <c r="F43" t="s">
        <v>1</v>
      </c>
      <c r="G43">
        <v>1.4</v>
      </c>
      <c r="H43">
        <v>0.33900000000000002</v>
      </c>
      <c r="I43">
        <v>0.7712</v>
      </c>
      <c r="J43" t="s">
        <v>2</v>
      </c>
      <c r="K43" t="s">
        <v>3</v>
      </c>
      <c r="L43">
        <v>1.92</v>
      </c>
      <c r="M43">
        <v>83.067400000000006</v>
      </c>
      <c r="N43">
        <v>170.1986</v>
      </c>
      <c r="O43" t="s">
        <v>2</v>
      </c>
      <c r="P43" t="s">
        <v>146</v>
      </c>
      <c r="Q43" s="1">
        <v>44832</v>
      </c>
      <c r="R43" s="2">
        <v>0.9410532407407407</v>
      </c>
      <c r="S43" t="s">
        <v>104</v>
      </c>
      <c r="T43">
        <v>1.1599999999999999</v>
      </c>
      <c r="U43">
        <v>3033.1812</v>
      </c>
      <c r="V43">
        <v>0</v>
      </c>
      <c r="X43" t="s">
        <v>3</v>
      </c>
      <c r="Y43">
        <v>1.8959999999999999</v>
      </c>
      <c r="Z43">
        <v>2.5973999999999999</v>
      </c>
      <c r="AA43">
        <v>0</v>
      </c>
      <c r="AC43" t="s">
        <v>105</v>
      </c>
      <c r="AD43">
        <v>2.2200000000000002</v>
      </c>
      <c r="AE43">
        <v>56.005800000000001</v>
      </c>
      <c r="AF43">
        <v>0.21990000000000001</v>
      </c>
      <c r="AG43" t="s">
        <v>2</v>
      </c>
      <c r="AH43">
        <v>6</v>
      </c>
      <c r="AI43">
        <v>2.66</v>
      </c>
      <c r="AJ43">
        <v>32.910800000000002</v>
      </c>
      <c r="AK43">
        <v>12.5244</v>
      </c>
    </row>
    <row r="44" spans="1:37" x14ac:dyDescent="0.2">
      <c r="A44">
        <v>43</v>
      </c>
      <c r="B44" t="s">
        <v>227</v>
      </c>
      <c r="C44" t="s">
        <v>45</v>
      </c>
      <c r="D44" s="1">
        <v>44832</v>
      </c>
      <c r="E44" s="2">
        <v>0.94480324074074085</v>
      </c>
      <c r="F44" t="s">
        <v>1</v>
      </c>
      <c r="G44">
        <v>0</v>
      </c>
      <c r="H44">
        <v>0</v>
      </c>
      <c r="I44">
        <v>0</v>
      </c>
      <c r="J44" t="s">
        <v>2</v>
      </c>
      <c r="K44" t="s">
        <v>3</v>
      </c>
      <c r="L44">
        <v>1.92</v>
      </c>
      <c r="M44">
        <v>11.295199999999999</v>
      </c>
      <c r="N44">
        <v>0</v>
      </c>
      <c r="O44" t="s">
        <v>2</v>
      </c>
      <c r="P44" t="s">
        <v>147</v>
      </c>
      <c r="Q44" s="1">
        <v>44832</v>
      </c>
      <c r="R44" s="2">
        <v>0.94480324074074085</v>
      </c>
      <c r="S44" t="s">
        <v>104</v>
      </c>
      <c r="T44">
        <v>1.1559999999999999</v>
      </c>
      <c r="U44">
        <v>915.84100000000001</v>
      </c>
      <c r="V44">
        <v>0</v>
      </c>
      <c r="X44" t="s">
        <v>3</v>
      </c>
      <c r="Y44">
        <v>0</v>
      </c>
      <c r="Z44">
        <v>0</v>
      </c>
      <c r="AA44">
        <v>0</v>
      </c>
      <c r="AC44" t="s">
        <v>105</v>
      </c>
      <c r="AD44">
        <v>2.226</v>
      </c>
      <c r="AE44">
        <v>4.8129999999999997</v>
      </c>
      <c r="AF44">
        <v>3.6799999999999999E-2</v>
      </c>
      <c r="AG44" t="s">
        <v>2</v>
      </c>
      <c r="AH44">
        <v>6</v>
      </c>
      <c r="AI44">
        <v>0</v>
      </c>
      <c r="AJ44">
        <v>0</v>
      </c>
      <c r="AK44">
        <v>0</v>
      </c>
    </row>
    <row r="45" spans="1:37" x14ac:dyDescent="0.2">
      <c r="A45">
        <v>44</v>
      </c>
      <c r="B45" t="s">
        <v>220</v>
      </c>
      <c r="C45" t="s">
        <v>46</v>
      </c>
      <c r="D45" s="1">
        <v>44832</v>
      </c>
      <c r="E45" s="2">
        <v>0.94856481481481481</v>
      </c>
      <c r="F45" t="s">
        <v>1</v>
      </c>
      <c r="G45">
        <v>1.4059999999999999</v>
      </c>
      <c r="H45">
        <v>0.35420000000000001</v>
      </c>
      <c r="I45">
        <v>0.84630000000000005</v>
      </c>
      <c r="J45" t="s">
        <v>2</v>
      </c>
      <c r="K45" t="s">
        <v>3</v>
      </c>
      <c r="L45">
        <v>1.9259999999999999</v>
      </c>
      <c r="M45">
        <v>91.253299999999996</v>
      </c>
      <c r="N45">
        <v>198.84460000000001</v>
      </c>
      <c r="O45" t="s">
        <v>2</v>
      </c>
      <c r="P45" t="s">
        <v>148</v>
      </c>
      <c r="Q45" s="1">
        <v>44832</v>
      </c>
      <c r="R45" s="2">
        <v>0.94856481481481481</v>
      </c>
      <c r="S45" t="s">
        <v>104</v>
      </c>
      <c r="T45">
        <v>1.17</v>
      </c>
      <c r="U45">
        <v>3132.6714999999999</v>
      </c>
      <c r="V45">
        <v>0</v>
      </c>
      <c r="X45" t="s">
        <v>3</v>
      </c>
      <c r="Y45">
        <v>1.903</v>
      </c>
      <c r="Z45">
        <v>2.5249999999999999</v>
      </c>
      <c r="AA45">
        <v>0</v>
      </c>
      <c r="AC45" t="s">
        <v>105</v>
      </c>
      <c r="AD45">
        <v>2.226</v>
      </c>
      <c r="AE45">
        <v>58.829000000000001</v>
      </c>
      <c r="AF45">
        <v>0.23</v>
      </c>
      <c r="AG45" t="s">
        <v>2</v>
      </c>
      <c r="AH45">
        <v>6</v>
      </c>
      <c r="AI45">
        <v>2.66</v>
      </c>
      <c r="AJ45">
        <v>33.0002</v>
      </c>
      <c r="AK45">
        <v>12.558400000000001</v>
      </c>
    </row>
    <row r="46" spans="1:37" x14ac:dyDescent="0.2">
      <c r="A46">
        <v>45</v>
      </c>
      <c r="B46" t="s">
        <v>231</v>
      </c>
      <c r="C46" t="s">
        <v>47</v>
      </c>
      <c r="D46" s="1">
        <v>44832</v>
      </c>
      <c r="E46" s="2">
        <v>0.95231481481481473</v>
      </c>
      <c r="F46" t="s">
        <v>1</v>
      </c>
      <c r="G46">
        <v>1.4059999999999999</v>
      </c>
      <c r="H46">
        <v>0.1396</v>
      </c>
      <c r="I46">
        <v>0</v>
      </c>
      <c r="J46" t="s">
        <v>2</v>
      </c>
      <c r="K46" t="s">
        <v>3</v>
      </c>
      <c r="L46">
        <v>1.92</v>
      </c>
      <c r="M46">
        <v>35.2515</v>
      </c>
      <c r="N46">
        <v>2.8704000000000001</v>
      </c>
      <c r="O46" t="s">
        <v>2</v>
      </c>
      <c r="P46" t="s">
        <v>149</v>
      </c>
      <c r="Q46" s="1">
        <v>44832</v>
      </c>
      <c r="R46" s="2">
        <v>0.95231481481481473</v>
      </c>
      <c r="S46" t="s">
        <v>104</v>
      </c>
      <c r="T46">
        <v>1.163</v>
      </c>
      <c r="U46">
        <v>1834.2928999999999</v>
      </c>
      <c r="V46">
        <v>0</v>
      </c>
      <c r="X46" t="s">
        <v>3</v>
      </c>
      <c r="Y46">
        <v>0</v>
      </c>
      <c r="Z46">
        <v>0</v>
      </c>
      <c r="AA46">
        <v>0</v>
      </c>
      <c r="AC46" t="s">
        <v>105</v>
      </c>
      <c r="AD46">
        <v>2.2160000000000002</v>
      </c>
      <c r="AE46">
        <v>21.426400000000001</v>
      </c>
      <c r="AF46">
        <v>9.6199999999999994E-2</v>
      </c>
      <c r="AG46" t="s">
        <v>2</v>
      </c>
      <c r="AH46">
        <v>6</v>
      </c>
      <c r="AI46">
        <v>2.6560000000000001</v>
      </c>
      <c r="AJ46">
        <v>11.201000000000001</v>
      </c>
      <c r="AK46">
        <v>4.2625999999999999</v>
      </c>
    </row>
    <row r="47" spans="1:37" x14ac:dyDescent="0.2">
      <c r="A47">
        <v>46</v>
      </c>
      <c r="B47" t="s">
        <v>220</v>
      </c>
      <c r="C47" t="s">
        <v>48</v>
      </c>
      <c r="D47" s="1">
        <v>44832</v>
      </c>
      <c r="E47" s="2">
        <v>0.95607638888888891</v>
      </c>
      <c r="F47" t="s">
        <v>1</v>
      </c>
      <c r="G47">
        <v>1.4</v>
      </c>
      <c r="H47">
        <v>0.31690000000000002</v>
      </c>
      <c r="I47">
        <v>0.66190000000000004</v>
      </c>
      <c r="J47" t="s">
        <v>2</v>
      </c>
      <c r="K47" t="s">
        <v>3</v>
      </c>
      <c r="L47">
        <v>1.92</v>
      </c>
      <c r="M47">
        <v>89.961399999999998</v>
      </c>
      <c r="N47">
        <v>194.3237</v>
      </c>
      <c r="O47" t="s">
        <v>2</v>
      </c>
      <c r="P47" t="s">
        <v>150</v>
      </c>
      <c r="Q47" s="1">
        <v>44832</v>
      </c>
      <c r="R47" s="2">
        <v>0.95607638888888891</v>
      </c>
      <c r="S47" t="s">
        <v>104</v>
      </c>
      <c r="T47">
        <v>1.1599999999999999</v>
      </c>
      <c r="U47">
        <v>3084.7341000000001</v>
      </c>
      <c r="V47">
        <v>0</v>
      </c>
      <c r="X47" t="s">
        <v>3</v>
      </c>
      <c r="Y47">
        <v>1.9</v>
      </c>
      <c r="Z47">
        <v>2.3990999999999998</v>
      </c>
      <c r="AA47">
        <v>0</v>
      </c>
      <c r="AC47" t="s">
        <v>105</v>
      </c>
      <c r="AD47">
        <v>2.2200000000000002</v>
      </c>
      <c r="AE47">
        <v>57.880800000000001</v>
      </c>
      <c r="AF47">
        <v>0.2266</v>
      </c>
      <c r="AG47" t="s">
        <v>2</v>
      </c>
      <c r="AH47">
        <v>6</v>
      </c>
      <c r="AI47">
        <v>2.653</v>
      </c>
      <c r="AJ47">
        <v>35.412199999999999</v>
      </c>
      <c r="AK47">
        <v>13.4763</v>
      </c>
    </row>
    <row r="48" spans="1:37" x14ac:dyDescent="0.2">
      <c r="A48">
        <v>47</v>
      </c>
      <c r="B48" t="s">
        <v>228</v>
      </c>
      <c r="C48" t="s">
        <v>49</v>
      </c>
      <c r="D48" s="1">
        <v>44832</v>
      </c>
      <c r="E48" s="2">
        <v>0.95983796296296298</v>
      </c>
      <c r="F48" t="s">
        <v>1</v>
      </c>
      <c r="G48">
        <v>1.413</v>
      </c>
      <c r="H48">
        <v>0.2175</v>
      </c>
      <c r="I48">
        <v>0.1706</v>
      </c>
      <c r="J48" t="s">
        <v>2</v>
      </c>
      <c r="K48" t="s">
        <v>3</v>
      </c>
      <c r="L48">
        <v>1.9330000000000001</v>
      </c>
      <c r="M48">
        <v>55.742800000000003</v>
      </c>
      <c r="N48">
        <v>74.578199999999995</v>
      </c>
      <c r="O48" t="s">
        <v>2</v>
      </c>
      <c r="P48" t="s">
        <v>151</v>
      </c>
      <c r="Q48" s="1">
        <v>44832</v>
      </c>
      <c r="R48" s="2">
        <v>0.95983796296296298</v>
      </c>
      <c r="S48" t="s">
        <v>104</v>
      </c>
      <c r="T48">
        <v>1.17</v>
      </c>
      <c r="U48">
        <v>2390.627</v>
      </c>
      <c r="V48">
        <v>0</v>
      </c>
      <c r="X48" t="s">
        <v>3</v>
      </c>
      <c r="Y48">
        <v>0</v>
      </c>
      <c r="Z48">
        <v>0</v>
      </c>
      <c r="AA48">
        <v>0</v>
      </c>
      <c r="AC48" t="s">
        <v>105</v>
      </c>
      <c r="AD48">
        <v>2.2360000000000002</v>
      </c>
      <c r="AE48">
        <v>34.426600000000001</v>
      </c>
      <c r="AF48">
        <v>0.14269999999999999</v>
      </c>
      <c r="AG48" t="s">
        <v>2</v>
      </c>
      <c r="AH48">
        <v>6</v>
      </c>
      <c r="AI48">
        <v>2.67</v>
      </c>
      <c r="AJ48">
        <v>17.752300000000002</v>
      </c>
      <c r="AK48">
        <v>6.7557</v>
      </c>
    </row>
    <row r="49" spans="1:37" x14ac:dyDescent="0.2">
      <c r="A49">
        <v>48</v>
      </c>
      <c r="B49" t="s">
        <v>220</v>
      </c>
      <c r="C49" t="s">
        <v>50</v>
      </c>
      <c r="D49" s="1">
        <v>44832</v>
      </c>
      <c r="E49" s="2">
        <v>0.96358796296296301</v>
      </c>
      <c r="F49" t="s">
        <v>1</v>
      </c>
      <c r="G49">
        <v>1.4</v>
      </c>
      <c r="H49">
        <v>0.33389999999999997</v>
      </c>
      <c r="I49">
        <v>0.746</v>
      </c>
      <c r="J49" t="s">
        <v>2</v>
      </c>
      <c r="K49" t="s">
        <v>3</v>
      </c>
      <c r="L49">
        <v>1.9159999999999999</v>
      </c>
      <c r="M49">
        <v>85.299599999999998</v>
      </c>
      <c r="N49">
        <v>178.01</v>
      </c>
      <c r="O49" t="s">
        <v>2</v>
      </c>
      <c r="P49" t="s">
        <v>152</v>
      </c>
      <c r="Q49" s="1">
        <v>44832</v>
      </c>
      <c r="R49" s="2">
        <v>0.96358796296296301</v>
      </c>
      <c r="S49" t="s">
        <v>104</v>
      </c>
      <c r="T49">
        <v>1.1599999999999999</v>
      </c>
      <c r="U49">
        <v>3052.8847000000001</v>
      </c>
      <c r="V49">
        <v>0</v>
      </c>
      <c r="X49" t="s">
        <v>3</v>
      </c>
      <c r="Y49">
        <v>0</v>
      </c>
      <c r="Z49">
        <v>0</v>
      </c>
      <c r="AA49">
        <v>0</v>
      </c>
      <c r="AC49" t="s">
        <v>105</v>
      </c>
      <c r="AD49">
        <v>2.2130000000000001</v>
      </c>
      <c r="AE49">
        <v>53.089399999999998</v>
      </c>
      <c r="AF49">
        <v>0.2094</v>
      </c>
      <c r="AG49" t="s">
        <v>2</v>
      </c>
      <c r="AH49">
        <v>6</v>
      </c>
      <c r="AI49">
        <v>2.66</v>
      </c>
      <c r="AJ49">
        <v>29.153400000000001</v>
      </c>
      <c r="AK49">
        <v>11.0945</v>
      </c>
    </row>
    <row r="50" spans="1:37" x14ac:dyDescent="0.2">
      <c r="A50">
        <v>49</v>
      </c>
      <c r="B50" t="s">
        <v>232</v>
      </c>
      <c r="C50" t="s">
        <v>51</v>
      </c>
      <c r="D50" s="1">
        <v>44832</v>
      </c>
      <c r="E50" s="2">
        <v>0.96733796296296293</v>
      </c>
      <c r="F50" t="s">
        <v>1</v>
      </c>
      <c r="G50">
        <v>1.41</v>
      </c>
      <c r="H50">
        <v>0.32090000000000002</v>
      </c>
      <c r="I50">
        <v>0.68169999999999997</v>
      </c>
      <c r="J50" t="s">
        <v>2</v>
      </c>
      <c r="K50" t="s">
        <v>3</v>
      </c>
      <c r="L50">
        <v>1.9259999999999999</v>
      </c>
      <c r="M50">
        <v>77.796499999999995</v>
      </c>
      <c r="N50">
        <v>151.7535</v>
      </c>
      <c r="O50" t="s">
        <v>2</v>
      </c>
      <c r="P50" t="s">
        <v>153</v>
      </c>
      <c r="Q50" s="1">
        <v>44832</v>
      </c>
      <c r="R50" s="2">
        <v>0.96733796296296293</v>
      </c>
      <c r="S50" t="s">
        <v>104</v>
      </c>
      <c r="T50">
        <v>1.1659999999999999</v>
      </c>
      <c r="U50">
        <v>2778.5853999999999</v>
      </c>
      <c r="V50">
        <v>0</v>
      </c>
      <c r="X50" t="s">
        <v>3</v>
      </c>
      <c r="Y50">
        <v>1.8759999999999999</v>
      </c>
      <c r="Z50">
        <v>2.2361</v>
      </c>
      <c r="AA50">
        <v>0</v>
      </c>
      <c r="AC50" t="s">
        <v>105</v>
      </c>
      <c r="AD50">
        <v>2.23</v>
      </c>
      <c r="AE50">
        <v>50.606400000000001</v>
      </c>
      <c r="AF50">
        <v>0.2006</v>
      </c>
      <c r="AG50" t="s">
        <v>2</v>
      </c>
      <c r="AH50">
        <v>6</v>
      </c>
      <c r="AI50">
        <v>2.67</v>
      </c>
      <c r="AJ50">
        <v>32.022799999999997</v>
      </c>
      <c r="AK50">
        <v>12.186500000000001</v>
      </c>
    </row>
    <row r="51" spans="1:37" x14ac:dyDescent="0.2">
      <c r="A51">
        <v>50</v>
      </c>
      <c r="B51" t="s">
        <v>220</v>
      </c>
      <c r="C51" t="s">
        <v>52</v>
      </c>
      <c r="D51" s="1">
        <v>44832</v>
      </c>
      <c r="E51" s="2">
        <v>0.97109953703703711</v>
      </c>
      <c r="F51" t="s">
        <v>1</v>
      </c>
      <c r="G51">
        <v>1.413</v>
      </c>
      <c r="H51">
        <v>0.3523</v>
      </c>
      <c r="I51">
        <v>0.83689999999999998</v>
      </c>
      <c r="J51" t="s">
        <v>2</v>
      </c>
      <c r="K51" t="s">
        <v>3</v>
      </c>
      <c r="L51">
        <v>1.9330000000000001</v>
      </c>
      <c r="M51">
        <v>98.528700000000001</v>
      </c>
      <c r="N51">
        <v>224.30430000000001</v>
      </c>
      <c r="O51" t="s">
        <v>2</v>
      </c>
      <c r="P51" t="s">
        <v>154</v>
      </c>
      <c r="Q51" s="1">
        <v>44832</v>
      </c>
      <c r="R51" s="2">
        <v>0.97109953703703711</v>
      </c>
      <c r="S51" t="s">
        <v>104</v>
      </c>
      <c r="T51">
        <v>1.17</v>
      </c>
      <c r="U51">
        <v>3333.4515999999999</v>
      </c>
      <c r="V51">
        <v>0</v>
      </c>
      <c r="X51" t="s">
        <v>3</v>
      </c>
      <c r="Y51">
        <v>1.8959999999999999</v>
      </c>
      <c r="Z51">
        <v>3.2673000000000001</v>
      </c>
      <c r="AA51">
        <v>0</v>
      </c>
      <c r="AC51" t="s">
        <v>105</v>
      </c>
      <c r="AD51">
        <v>2.2330000000000001</v>
      </c>
      <c r="AE51">
        <v>65.631500000000003</v>
      </c>
      <c r="AF51">
        <v>0.25430000000000003</v>
      </c>
      <c r="AG51" t="s">
        <v>2</v>
      </c>
      <c r="AH51">
        <v>6</v>
      </c>
      <c r="AI51">
        <v>2.6760000000000002</v>
      </c>
      <c r="AJ51">
        <v>39.931600000000003</v>
      </c>
      <c r="AK51">
        <v>15.196199999999999</v>
      </c>
    </row>
    <row r="52" spans="1:37" x14ac:dyDescent="0.2">
      <c r="A52">
        <v>51</v>
      </c>
      <c r="B52" t="s">
        <v>229</v>
      </c>
      <c r="C52" t="s">
        <v>53</v>
      </c>
      <c r="D52" s="1">
        <v>44832</v>
      </c>
      <c r="E52" s="2">
        <v>0.97484953703703703</v>
      </c>
      <c r="F52" t="s">
        <v>1</v>
      </c>
      <c r="G52">
        <v>1.413</v>
      </c>
      <c r="H52">
        <v>0.37180000000000002</v>
      </c>
      <c r="I52">
        <v>0.93330000000000002</v>
      </c>
      <c r="J52" t="s">
        <v>2</v>
      </c>
      <c r="K52" t="s">
        <v>3</v>
      </c>
      <c r="L52">
        <v>1.9330000000000001</v>
      </c>
      <c r="M52">
        <v>99.141400000000004</v>
      </c>
      <c r="N52">
        <v>226.44839999999999</v>
      </c>
      <c r="O52" t="s">
        <v>2</v>
      </c>
      <c r="P52" t="s">
        <v>155</v>
      </c>
      <c r="Q52" s="1">
        <v>44832</v>
      </c>
      <c r="R52" s="2">
        <v>0.97484953703703703</v>
      </c>
      <c r="S52" t="s">
        <v>104</v>
      </c>
      <c r="T52">
        <v>1.17</v>
      </c>
      <c r="U52">
        <v>3264.2871</v>
      </c>
      <c r="V52">
        <v>0</v>
      </c>
      <c r="X52" t="s">
        <v>3</v>
      </c>
      <c r="Y52">
        <v>1.91</v>
      </c>
      <c r="Z52">
        <v>2.3296000000000001</v>
      </c>
      <c r="AA52">
        <v>0</v>
      </c>
      <c r="AC52" t="s">
        <v>105</v>
      </c>
      <c r="AD52">
        <v>2.2330000000000001</v>
      </c>
      <c r="AE52">
        <v>63.630400000000002</v>
      </c>
      <c r="AF52">
        <v>0.24709999999999999</v>
      </c>
      <c r="AG52" t="s">
        <v>2</v>
      </c>
      <c r="AH52">
        <v>6</v>
      </c>
      <c r="AI52">
        <v>2.6859999999999999</v>
      </c>
      <c r="AJ52">
        <v>37.590800000000002</v>
      </c>
      <c r="AK52">
        <v>14.305400000000001</v>
      </c>
    </row>
    <row r="53" spans="1:37" x14ac:dyDescent="0.2">
      <c r="A53">
        <v>52</v>
      </c>
      <c r="B53" t="s">
        <v>220</v>
      </c>
      <c r="C53" t="s">
        <v>54</v>
      </c>
      <c r="D53" s="1">
        <v>44832</v>
      </c>
      <c r="E53" s="2">
        <v>0.97861111111111121</v>
      </c>
      <c r="F53" t="s">
        <v>1</v>
      </c>
      <c r="G53">
        <v>1.413</v>
      </c>
      <c r="H53">
        <v>0.35470000000000002</v>
      </c>
      <c r="I53">
        <v>0.8488</v>
      </c>
      <c r="J53" t="s">
        <v>2</v>
      </c>
      <c r="K53" t="s">
        <v>3</v>
      </c>
      <c r="L53">
        <v>1.9330000000000001</v>
      </c>
      <c r="M53">
        <v>88.192499999999995</v>
      </c>
      <c r="N53">
        <v>188.1335</v>
      </c>
      <c r="O53" t="s">
        <v>2</v>
      </c>
      <c r="P53" t="s">
        <v>156</v>
      </c>
      <c r="Q53" s="1">
        <v>44832</v>
      </c>
      <c r="R53" s="2">
        <v>0.97861111111111121</v>
      </c>
      <c r="S53" t="s">
        <v>104</v>
      </c>
      <c r="T53">
        <v>1.17</v>
      </c>
      <c r="U53">
        <v>3169.5426000000002</v>
      </c>
      <c r="V53">
        <v>0</v>
      </c>
      <c r="X53" t="s">
        <v>3</v>
      </c>
      <c r="Y53">
        <v>1.9059999999999999</v>
      </c>
      <c r="Z53">
        <v>2.9274</v>
      </c>
      <c r="AA53">
        <v>0</v>
      </c>
      <c r="AC53" t="s">
        <v>105</v>
      </c>
      <c r="AD53">
        <v>2.2330000000000001</v>
      </c>
      <c r="AE53">
        <v>56.757199999999997</v>
      </c>
      <c r="AF53">
        <v>0.22259999999999999</v>
      </c>
      <c r="AG53" t="s">
        <v>2</v>
      </c>
      <c r="AH53">
        <v>6</v>
      </c>
      <c r="AI53">
        <v>2.67</v>
      </c>
      <c r="AJ53">
        <v>36.043999999999997</v>
      </c>
      <c r="AK53">
        <v>13.716799999999999</v>
      </c>
    </row>
    <row r="54" spans="1:37" x14ac:dyDescent="0.2">
      <c r="A54">
        <v>53</v>
      </c>
      <c r="B54" t="s">
        <v>233</v>
      </c>
      <c r="C54" t="s">
        <v>55</v>
      </c>
      <c r="D54" s="1">
        <v>44832</v>
      </c>
      <c r="E54" s="2">
        <v>0.98237268518518517</v>
      </c>
      <c r="F54" t="s">
        <v>1</v>
      </c>
      <c r="G54">
        <v>1.413</v>
      </c>
      <c r="H54">
        <v>0.47399999999999998</v>
      </c>
      <c r="I54">
        <v>1.4384999999999999</v>
      </c>
      <c r="J54" t="s">
        <v>2</v>
      </c>
      <c r="K54" t="s">
        <v>3</v>
      </c>
      <c r="L54">
        <v>1.9330000000000001</v>
      </c>
      <c r="M54">
        <v>114.974</v>
      </c>
      <c r="N54">
        <v>281.85340000000002</v>
      </c>
      <c r="O54" t="s">
        <v>2</v>
      </c>
      <c r="P54" t="s">
        <v>157</v>
      </c>
      <c r="Q54" s="1">
        <v>44832</v>
      </c>
      <c r="R54" s="2">
        <v>0.98237268518518517</v>
      </c>
      <c r="S54" t="s">
        <v>104</v>
      </c>
      <c r="T54">
        <v>1.17</v>
      </c>
      <c r="U54">
        <v>3489.7420000000002</v>
      </c>
      <c r="V54">
        <v>0</v>
      </c>
      <c r="X54" t="s">
        <v>3</v>
      </c>
      <c r="Y54">
        <v>1.8959999999999999</v>
      </c>
      <c r="Z54">
        <v>3.9944000000000002</v>
      </c>
      <c r="AA54">
        <v>0</v>
      </c>
      <c r="AC54" t="s">
        <v>105</v>
      </c>
      <c r="AD54">
        <v>2.2330000000000001</v>
      </c>
      <c r="AE54">
        <v>75.39</v>
      </c>
      <c r="AF54">
        <v>0.28920000000000001</v>
      </c>
      <c r="AG54" t="s">
        <v>2</v>
      </c>
      <c r="AH54">
        <v>6</v>
      </c>
      <c r="AI54">
        <v>2.673</v>
      </c>
      <c r="AJ54">
        <v>45.182600000000001</v>
      </c>
      <c r="AK54">
        <v>17.194500000000001</v>
      </c>
    </row>
    <row r="55" spans="1:37" x14ac:dyDescent="0.2">
      <c r="A55">
        <v>54</v>
      </c>
      <c r="B55" t="s">
        <v>220</v>
      </c>
      <c r="C55" t="s">
        <v>56</v>
      </c>
      <c r="D55" s="1">
        <v>44832</v>
      </c>
      <c r="E55" s="2">
        <v>0.98613425925925924</v>
      </c>
      <c r="F55" t="s">
        <v>1</v>
      </c>
      <c r="G55">
        <v>1.403</v>
      </c>
      <c r="H55">
        <v>0.35239999999999999</v>
      </c>
      <c r="I55">
        <v>0.83740000000000003</v>
      </c>
      <c r="J55" t="s">
        <v>2</v>
      </c>
      <c r="K55" t="s">
        <v>3</v>
      </c>
      <c r="L55">
        <v>1.92</v>
      </c>
      <c r="M55">
        <v>101.1888</v>
      </c>
      <c r="N55">
        <v>233.6131</v>
      </c>
      <c r="O55" t="s">
        <v>2</v>
      </c>
      <c r="P55" t="s">
        <v>158</v>
      </c>
      <c r="Q55" s="1">
        <v>44832</v>
      </c>
      <c r="R55" s="2">
        <v>0.98613425925925924</v>
      </c>
      <c r="S55" t="s">
        <v>104</v>
      </c>
      <c r="T55">
        <v>1.163</v>
      </c>
      <c r="U55">
        <v>3285.3402000000001</v>
      </c>
      <c r="V55">
        <v>0</v>
      </c>
      <c r="X55" t="s">
        <v>3</v>
      </c>
      <c r="Y55">
        <v>1.9059999999999999</v>
      </c>
      <c r="Z55">
        <v>2.9053</v>
      </c>
      <c r="AA55">
        <v>0</v>
      </c>
      <c r="AC55" t="s">
        <v>105</v>
      </c>
      <c r="AD55">
        <v>2.2160000000000002</v>
      </c>
      <c r="AE55">
        <v>66.452399999999997</v>
      </c>
      <c r="AF55">
        <v>0.25719999999999998</v>
      </c>
      <c r="AG55" t="s">
        <v>2</v>
      </c>
      <c r="AH55">
        <v>6</v>
      </c>
      <c r="AI55">
        <v>2.6659999999999999</v>
      </c>
      <c r="AJ55">
        <v>41.222000000000001</v>
      </c>
      <c r="AK55">
        <v>15.6873</v>
      </c>
    </row>
    <row r="56" spans="1:37" x14ac:dyDescent="0.2">
      <c r="A56">
        <v>55</v>
      </c>
      <c r="B56" t="s">
        <v>230</v>
      </c>
      <c r="C56" t="s">
        <v>57</v>
      </c>
      <c r="D56" s="1">
        <v>44832</v>
      </c>
      <c r="E56" s="2">
        <v>0.98988425925925927</v>
      </c>
      <c r="F56" t="s">
        <v>1</v>
      </c>
      <c r="G56">
        <v>1.4</v>
      </c>
      <c r="H56">
        <v>0.49</v>
      </c>
      <c r="I56">
        <v>1.5176000000000001</v>
      </c>
      <c r="J56" t="s">
        <v>2</v>
      </c>
      <c r="K56" t="s">
        <v>3</v>
      </c>
      <c r="L56">
        <v>1.9159999999999999</v>
      </c>
      <c r="M56">
        <v>137.46350000000001</v>
      </c>
      <c r="N56">
        <v>360.55380000000002</v>
      </c>
      <c r="O56" t="s">
        <v>2</v>
      </c>
      <c r="P56" t="s">
        <v>159</v>
      </c>
      <c r="Q56" s="1">
        <v>44832</v>
      </c>
      <c r="R56" s="2">
        <v>0.98988425925925927</v>
      </c>
      <c r="S56" t="s">
        <v>104</v>
      </c>
      <c r="T56">
        <v>1.1599999999999999</v>
      </c>
      <c r="U56">
        <v>3716.7166000000002</v>
      </c>
      <c r="V56">
        <v>0</v>
      </c>
      <c r="X56" t="s">
        <v>3</v>
      </c>
      <c r="Y56">
        <v>1.88</v>
      </c>
      <c r="Z56">
        <v>3.7098</v>
      </c>
      <c r="AA56">
        <v>0</v>
      </c>
      <c r="AC56" t="s">
        <v>105</v>
      </c>
      <c r="AD56">
        <v>2.2160000000000002</v>
      </c>
      <c r="AE56">
        <v>93.941800000000001</v>
      </c>
      <c r="AF56">
        <v>0.35549999999999998</v>
      </c>
      <c r="AG56" t="s">
        <v>2</v>
      </c>
      <c r="AH56">
        <v>6</v>
      </c>
      <c r="AI56">
        <v>2.6659999999999999</v>
      </c>
      <c r="AJ56">
        <v>56.284799999999997</v>
      </c>
      <c r="AK56">
        <v>21.419499999999999</v>
      </c>
    </row>
    <row r="57" spans="1:37" x14ac:dyDescent="0.2">
      <c r="A57">
        <v>56</v>
      </c>
      <c r="B57" t="s">
        <v>220</v>
      </c>
      <c r="C57" t="s">
        <v>58</v>
      </c>
      <c r="D57" s="1">
        <v>44832</v>
      </c>
      <c r="E57" s="2">
        <v>0.99364583333333334</v>
      </c>
      <c r="F57" t="s">
        <v>1</v>
      </c>
      <c r="G57">
        <v>1.4059999999999999</v>
      </c>
      <c r="H57">
        <v>0.40379999999999999</v>
      </c>
      <c r="I57">
        <v>1.0914999999999999</v>
      </c>
      <c r="J57" t="s">
        <v>2</v>
      </c>
      <c r="K57" t="s">
        <v>3</v>
      </c>
      <c r="L57">
        <v>1.923</v>
      </c>
      <c r="M57">
        <v>107.63209999999999</v>
      </c>
      <c r="N57">
        <v>256.161</v>
      </c>
      <c r="O57" t="s">
        <v>2</v>
      </c>
      <c r="P57" t="s">
        <v>160</v>
      </c>
      <c r="Q57" s="1">
        <v>44832</v>
      </c>
      <c r="R57" s="2">
        <v>0.99364583333333334</v>
      </c>
      <c r="S57" t="s">
        <v>104</v>
      </c>
      <c r="T57">
        <v>1.1659999999999999</v>
      </c>
      <c r="U57">
        <v>3428.1014</v>
      </c>
      <c r="V57">
        <v>0</v>
      </c>
      <c r="X57" t="s">
        <v>3</v>
      </c>
      <c r="Y57">
        <v>1.8859999999999999</v>
      </c>
      <c r="Z57">
        <v>3.2018</v>
      </c>
      <c r="AA57">
        <v>0</v>
      </c>
      <c r="AC57" t="s">
        <v>105</v>
      </c>
      <c r="AD57">
        <v>2.226</v>
      </c>
      <c r="AE57">
        <v>74.522599999999997</v>
      </c>
      <c r="AF57">
        <v>0.28610000000000002</v>
      </c>
      <c r="AG57" t="s">
        <v>2</v>
      </c>
      <c r="AH57">
        <v>6</v>
      </c>
      <c r="AI57">
        <v>2.6659999999999999</v>
      </c>
      <c r="AJ57">
        <v>38.908999999999999</v>
      </c>
      <c r="AK57">
        <v>14.807</v>
      </c>
    </row>
    <row r="58" spans="1:37" x14ac:dyDescent="0.2">
      <c r="A58">
        <v>57</v>
      </c>
      <c r="B58" t="s">
        <v>220</v>
      </c>
      <c r="C58" t="s">
        <v>59</v>
      </c>
      <c r="D58" s="1">
        <v>44832</v>
      </c>
      <c r="E58" s="2">
        <v>0.99740740740740741</v>
      </c>
      <c r="F58" t="s">
        <v>1</v>
      </c>
      <c r="G58">
        <v>1.41</v>
      </c>
      <c r="H58">
        <v>0.34279999999999999</v>
      </c>
      <c r="I58">
        <v>0.79</v>
      </c>
      <c r="J58" t="s">
        <v>2</v>
      </c>
      <c r="K58" t="s">
        <v>3</v>
      </c>
      <c r="L58">
        <v>1.9259999999999999</v>
      </c>
      <c r="M58">
        <v>96.094399999999993</v>
      </c>
      <c r="N58">
        <v>215.78559999999999</v>
      </c>
      <c r="O58" t="s">
        <v>2</v>
      </c>
      <c r="P58" t="s">
        <v>161</v>
      </c>
      <c r="Q58" s="1">
        <v>44832</v>
      </c>
      <c r="R58" s="2">
        <v>0.99740740740740741</v>
      </c>
      <c r="S58" t="s">
        <v>104</v>
      </c>
      <c r="T58">
        <v>1.1659999999999999</v>
      </c>
      <c r="U58">
        <v>3248.6296000000002</v>
      </c>
      <c r="V58">
        <v>0</v>
      </c>
      <c r="X58" t="s">
        <v>3</v>
      </c>
      <c r="Y58">
        <v>1.8859999999999999</v>
      </c>
      <c r="Z58">
        <v>2.0657999999999999</v>
      </c>
      <c r="AA58">
        <v>0</v>
      </c>
      <c r="AC58" t="s">
        <v>105</v>
      </c>
      <c r="AD58">
        <v>2.226</v>
      </c>
      <c r="AE58">
        <v>67.206699999999998</v>
      </c>
      <c r="AF58">
        <v>0.25990000000000002</v>
      </c>
      <c r="AG58" t="s">
        <v>2</v>
      </c>
      <c r="AH58">
        <v>6</v>
      </c>
      <c r="AI58">
        <v>2.673</v>
      </c>
      <c r="AJ58">
        <v>37.790900000000001</v>
      </c>
      <c r="AK58">
        <v>14.381500000000001</v>
      </c>
    </row>
    <row r="59" spans="1:37" x14ac:dyDescent="0.2">
      <c r="A59">
        <v>58</v>
      </c>
      <c r="B59" t="s">
        <v>220</v>
      </c>
      <c r="C59" t="s">
        <v>60</v>
      </c>
      <c r="D59" s="1">
        <v>44833</v>
      </c>
      <c r="E59" s="2">
        <v>1.1689814814814816E-3</v>
      </c>
      <c r="F59" t="s">
        <v>1</v>
      </c>
      <c r="G59">
        <v>1.403</v>
      </c>
      <c r="H59">
        <v>0.30869999999999997</v>
      </c>
      <c r="I59">
        <v>0.62139999999999995</v>
      </c>
      <c r="J59" t="s">
        <v>2</v>
      </c>
      <c r="K59" t="s">
        <v>3</v>
      </c>
      <c r="L59">
        <v>1.92</v>
      </c>
      <c r="M59">
        <v>78.263300000000001</v>
      </c>
      <c r="N59">
        <v>153.387</v>
      </c>
      <c r="O59" t="s">
        <v>2</v>
      </c>
      <c r="P59" t="s">
        <v>162</v>
      </c>
      <c r="Q59" s="1">
        <v>44833</v>
      </c>
      <c r="R59" s="2">
        <v>1.1689814814814816E-3</v>
      </c>
      <c r="S59" t="s">
        <v>104</v>
      </c>
      <c r="T59">
        <v>1.1659999999999999</v>
      </c>
      <c r="U59">
        <v>2907.4463000000001</v>
      </c>
      <c r="V59">
        <v>0</v>
      </c>
      <c r="X59" t="s">
        <v>3</v>
      </c>
      <c r="Y59">
        <v>0</v>
      </c>
      <c r="Z59">
        <v>0</v>
      </c>
      <c r="AA59">
        <v>0</v>
      </c>
      <c r="AC59" t="s">
        <v>105</v>
      </c>
      <c r="AD59">
        <v>2.2200000000000002</v>
      </c>
      <c r="AE59">
        <v>51.684399999999997</v>
      </c>
      <c r="AF59">
        <v>0.2044</v>
      </c>
      <c r="AG59" t="s">
        <v>2</v>
      </c>
      <c r="AH59">
        <v>6</v>
      </c>
      <c r="AI59">
        <v>2.6560000000000001</v>
      </c>
      <c r="AJ59">
        <v>33.496200000000002</v>
      </c>
      <c r="AK59">
        <v>12.747199999999999</v>
      </c>
    </row>
    <row r="60" spans="1:37" x14ac:dyDescent="0.2">
      <c r="A60">
        <v>59</v>
      </c>
      <c r="B60" t="s">
        <v>220</v>
      </c>
      <c r="C60" t="s">
        <v>61</v>
      </c>
      <c r="D60" s="1">
        <v>44833</v>
      </c>
      <c r="E60" s="2">
        <v>4.9189814814814816E-3</v>
      </c>
      <c r="F60" t="s">
        <v>1</v>
      </c>
      <c r="G60">
        <v>1.3959999999999999</v>
      </c>
      <c r="H60">
        <v>0.4</v>
      </c>
      <c r="I60">
        <v>1.0727</v>
      </c>
      <c r="J60" t="s">
        <v>2</v>
      </c>
      <c r="K60" t="s">
        <v>3</v>
      </c>
      <c r="L60">
        <v>1.913</v>
      </c>
      <c r="M60">
        <v>101.9462</v>
      </c>
      <c r="N60">
        <v>236.2636</v>
      </c>
      <c r="O60" t="s">
        <v>2</v>
      </c>
      <c r="P60" t="s">
        <v>163</v>
      </c>
      <c r="Q60" s="1">
        <v>44833</v>
      </c>
      <c r="R60" s="2">
        <v>4.9189814814814816E-3</v>
      </c>
      <c r="S60" t="s">
        <v>104</v>
      </c>
      <c r="T60">
        <v>1.1599999999999999</v>
      </c>
      <c r="U60">
        <v>3176.2168000000001</v>
      </c>
      <c r="V60">
        <v>0</v>
      </c>
      <c r="X60" t="s">
        <v>3</v>
      </c>
      <c r="Y60">
        <v>1.8759999999999999</v>
      </c>
      <c r="Z60">
        <v>3.3397999999999999</v>
      </c>
      <c r="AA60">
        <v>0</v>
      </c>
      <c r="AC60" t="s">
        <v>105</v>
      </c>
      <c r="AD60">
        <v>2.21</v>
      </c>
      <c r="AE60">
        <v>67.531499999999994</v>
      </c>
      <c r="AF60">
        <v>0.2611</v>
      </c>
      <c r="AG60" t="s">
        <v>2</v>
      </c>
      <c r="AH60">
        <v>6</v>
      </c>
      <c r="AI60">
        <v>2.6629999999999998</v>
      </c>
      <c r="AJ60">
        <v>38.8917</v>
      </c>
      <c r="AK60">
        <v>14.8005</v>
      </c>
    </row>
    <row r="61" spans="1:37" x14ac:dyDescent="0.2">
      <c r="A61">
        <v>60</v>
      </c>
      <c r="B61" t="s">
        <v>220</v>
      </c>
      <c r="C61" t="s">
        <v>62</v>
      </c>
      <c r="D61" s="1">
        <v>44833</v>
      </c>
      <c r="E61" s="2">
        <v>8.6689814814814806E-3</v>
      </c>
      <c r="F61" t="s">
        <v>1</v>
      </c>
      <c r="G61">
        <v>1.4059999999999999</v>
      </c>
      <c r="H61">
        <v>0.28320000000000001</v>
      </c>
      <c r="I61">
        <v>0.49540000000000001</v>
      </c>
      <c r="J61" t="s">
        <v>2</v>
      </c>
      <c r="K61" t="s">
        <v>3</v>
      </c>
      <c r="L61">
        <v>1.9259999999999999</v>
      </c>
      <c r="M61">
        <v>89.128200000000007</v>
      </c>
      <c r="N61">
        <v>191.40790000000001</v>
      </c>
      <c r="O61" t="s">
        <v>2</v>
      </c>
      <c r="P61" t="s">
        <v>164</v>
      </c>
      <c r="Q61" s="1">
        <v>44833</v>
      </c>
      <c r="R61" s="2">
        <v>8.6689814814814806E-3</v>
      </c>
      <c r="S61" t="s">
        <v>104</v>
      </c>
      <c r="T61">
        <v>1.1659999999999999</v>
      </c>
      <c r="U61">
        <v>3127.8015</v>
      </c>
      <c r="V61">
        <v>0</v>
      </c>
      <c r="X61" t="s">
        <v>3</v>
      </c>
      <c r="Y61">
        <v>0</v>
      </c>
      <c r="Z61">
        <v>0</v>
      </c>
      <c r="AA61">
        <v>0</v>
      </c>
      <c r="AC61" t="s">
        <v>105</v>
      </c>
      <c r="AD61">
        <v>2.2229999999999999</v>
      </c>
      <c r="AE61">
        <v>64.650300000000001</v>
      </c>
      <c r="AF61">
        <v>0.25080000000000002</v>
      </c>
      <c r="AG61" t="s">
        <v>2</v>
      </c>
      <c r="AH61">
        <v>6</v>
      </c>
      <c r="AI61">
        <v>2.67</v>
      </c>
      <c r="AJ61">
        <v>35.326799999999999</v>
      </c>
      <c r="AK61">
        <v>13.4438</v>
      </c>
    </row>
    <row r="62" spans="1:37" x14ac:dyDescent="0.2">
      <c r="A62">
        <v>61</v>
      </c>
      <c r="B62" t="s">
        <v>234</v>
      </c>
      <c r="C62" t="s">
        <v>63</v>
      </c>
      <c r="D62" s="1">
        <v>44833</v>
      </c>
      <c r="E62" s="2">
        <v>1.2418981481481482E-2</v>
      </c>
      <c r="F62" t="s">
        <v>1</v>
      </c>
      <c r="G62">
        <v>0</v>
      </c>
      <c r="H62">
        <v>0</v>
      </c>
      <c r="I62">
        <v>0</v>
      </c>
      <c r="J62" t="s">
        <v>2</v>
      </c>
      <c r="K62" t="s">
        <v>3</v>
      </c>
      <c r="L62">
        <v>1.92</v>
      </c>
      <c r="M62">
        <v>13.9597</v>
      </c>
      <c r="N62">
        <v>0</v>
      </c>
      <c r="O62" t="s">
        <v>2</v>
      </c>
      <c r="P62" t="s">
        <v>165</v>
      </c>
      <c r="Q62" s="1">
        <v>44833</v>
      </c>
      <c r="R62" s="2">
        <v>1.2418981481481482E-2</v>
      </c>
      <c r="S62" t="s">
        <v>104</v>
      </c>
      <c r="T62">
        <v>1.1559999999999999</v>
      </c>
      <c r="U62">
        <v>888.24390000000005</v>
      </c>
      <c r="V62">
        <v>0</v>
      </c>
      <c r="X62" t="s">
        <v>3</v>
      </c>
      <c r="Y62">
        <v>0</v>
      </c>
      <c r="Z62">
        <v>0</v>
      </c>
      <c r="AA62">
        <v>0</v>
      </c>
      <c r="AC62" t="s">
        <v>105</v>
      </c>
      <c r="AD62">
        <v>2.2160000000000002</v>
      </c>
      <c r="AE62">
        <v>5.0721999999999996</v>
      </c>
      <c r="AF62">
        <v>3.78E-2</v>
      </c>
      <c r="AG62" t="s">
        <v>2</v>
      </c>
      <c r="AH62">
        <v>6</v>
      </c>
      <c r="AI62">
        <v>0</v>
      </c>
      <c r="AJ62">
        <v>0</v>
      </c>
      <c r="AK62">
        <v>0</v>
      </c>
    </row>
    <row r="63" spans="1:37" x14ac:dyDescent="0.2">
      <c r="A63">
        <v>62</v>
      </c>
      <c r="B63" t="s">
        <v>220</v>
      </c>
      <c r="C63" t="s">
        <v>64</v>
      </c>
      <c r="D63" s="1">
        <v>44833</v>
      </c>
      <c r="E63" s="2">
        <v>1.6168981481481482E-2</v>
      </c>
      <c r="F63" t="s">
        <v>1</v>
      </c>
      <c r="G63">
        <v>1.403</v>
      </c>
      <c r="H63">
        <v>0.32850000000000001</v>
      </c>
      <c r="I63">
        <v>0.71930000000000005</v>
      </c>
      <c r="J63" t="s">
        <v>2</v>
      </c>
      <c r="K63" t="s">
        <v>3</v>
      </c>
      <c r="L63">
        <v>1.92</v>
      </c>
      <c r="M63">
        <v>86.299000000000007</v>
      </c>
      <c r="N63">
        <v>181.50739999999999</v>
      </c>
      <c r="O63" t="s">
        <v>2</v>
      </c>
      <c r="P63" t="s">
        <v>166</v>
      </c>
      <c r="Q63" s="1">
        <v>44833</v>
      </c>
      <c r="R63" s="2">
        <v>1.6168981481481482E-2</v>
      </c>
      <c r="S63" t="s">
        <v>104</v>
      </c>
      <c r="T63">
        <v>1.1599999999999999</v>
      </c>
      <c r="U63">
        <v>3096.3404</v>
      </c>
      <c r="V63">
        <v>0</v>
      </c>
      <c r="X63" t="s">
        <v>3</v>
      </c>
      <c r="Y63">
        <v>1.8959999999999999</v>
      </c>
      <c r="Z63">
        <v>2.9607999999999999</v>
      </c>
      <c r="AA63">
        <v>0</v>
      </c>
      <c r="AC63" t="s">
        <v>105</v>
      </c>
      <c r="AD63">
        <v>2.2160000000000002</v>
      </c>
      <c r="AE63">
        <v>56.360599999999998</v>
      </c>
      <c r="AF63">
        <v>0.22109999999999999</v>
      </c>
      <c r="AG63" t="s">
        <v>2</v>
      </c>
      <c r="AH63">
        <v>6</v>
      </c>
      <c r="AI63">
        <v>2.66</v>
      </c>
      <c r="AJ63">
        <v>29.8094</v>
      </c>
      <c r="AK63">
        <v>11.344099999999999</v>
      </c>
    </row>
    <row r="64" spans="1:37" x14ac:dyDescent="0.2">
      <c r="A64">
        <v>63</v>
      </c>
      <c r="B64" t="s">
        <v>235</v>
      </c>
      <c r="C64" t="s">
        <v>65</v>
      </c>
      <c r="D64" s="1">
        <v>44833</v>
      </c>
      <c r="E64" s="2">
        <v>1.9918981481481482E-2</v>
      </c>
      <c r="F64" t="s">
        <v>1</v>
      </c>
      <c r="G64">
        <v>0</v>
      </c>
      <c r="H64">
        <v>0</v>
      </c>
      <c r="I64">
        <v>0</v>
      </c>
      <c r="J64" t="s">
        <v>2</v>
      </c>
      <c r="K64" t="s">
        <v>3</v>
      </c>
      <c r="L64">
        <v>1.9259999999999999</v>
      </c>
      <c r="M64">
        <v>10.7902</v>
      </c>
      <c r="N64">
        <v>0</v>
      </c>
      <c r="O64" t="s">
        <v>2</v>
      </c>
      <c r="P64" t="s">
        <v>167</v>
      </c>
      <c r="Q64" s="1">
        <v>44833</v>
      </c>
      <c r="R64" s="2">
        <v>1.9918981481481482E-2</v>
      </c>
      <c r="S64" t="s">
        <v>104</v>
      </c>
      <c r="T64">
        <v>1.1659999999999999</v>
      </c>
      <c r="U64">
        <v>1656.2248999999999</v>
      </c>
      <c r="V64">
        <v>0</v>
      </c>
      <c r="X64" t="s">
        <v>3</v>
      </c>
      <c r="Y64">
        <v>1.6930000000000001</v>
      </c>
      <c r="Z64">
        <v>5.8780000000000001</v>
      </c>
      <c r="AA64">
        <v>0</v>
      </c>
      <c r="AC64" t="s">
        <v>105</v>
      </c>
      <c r="AD64">
        <v>2.2229999999999999</v>
      </c>
      <c r="AE64">
        <v>4.9977</v>
      </c>
      <c r="AF64">
        <v>3.7499999999999999E-2</v>
      </c>
      <c r="AG64" t="s">
        <v>2</v>
      </c>
      <c r="AH64">
        <v>6</v>
      </c>
      <c r="AI64">
        <v>0</v>
      </c>
      <c r="AJ64">
        <v>0</v>
      </c>
      <c r="AK64">
        <v>0</v>
      </c>
    </row>
    <row r="65" spans="1:37" x14ac:dyDescent="0.2">
      <c r="A65">
        <v>64</v>
      </c>
      <c r="B65" t="s">
        <v>220</v>
      </c>
      <c r="C65" t="s">
        <v>66</v>
      </c>
      <c r="D65" s="1">
        <v>44833</v>
      </c>
      <c r="E65" s="2">
        <v>2.3680555555555555E-2</v>
      </c>
      <c r="F65" t="s">
        <v>1</v>
      </c>
      <c r="G65">
        <v>1.4059999999999999</v>
      </c>
      <c r="H65">
        <v>0.308</v>
      </c>
      <c r="I65">
        <v>0.61799999999999999</v>
      </c>
      <c r="J65" t="s">
        <v>2</v>
      </c>
      <c r="K65" t="s">
        <v>3</v>
      </c>
      <c r="L65">
        <v>1.9259999999999999</v>
      </c>
      <c r="M65">
        <v>88.615200000000002</v>
      </c>
      <c r="N65">
        <v>189.61269999999999</v>
      </c>
      <c r="O65" t="s">
        <v>2</v>
      </c>
      <c r="P65" t="s">
        <v>168</v>
      </c>
      <c r="Q65" s="1">
        <v>44833</v>
      </c>
      <c r="R65" s="2">
        <v>2.3680555555555555E-2</v>
      </c>
      <c r="S65" t="s">
        <v>104</v>
      </c>
      <c r="T65">
        <v>1.17</v>
      </c>
      <c r="U65">
        <v>3099.4259000000002</v>
      </c>
      <c r="V65">
        <v>0</v>
      </c>
      <c r="X65" t="s">
        <v>3</v>
      </c>
      <c r="Y65">
        <v>0</v>
      </c>
      <c r="Z65">
        <v>0</v>
      </c>
      <c r="AA65">
        <v>0</v>
      </c>
      <c r="AC65" t="s">
        <v>105</v>
      </c>
      <c r="AD65">
        <v>2.226</v>
      </c>
      <c r="AE65">
        <v>57.816800000000001</v>
      </c>
      <c r="AF65">
        <v>0.2263</v>
      </c>
      <c r="AG65" t="s">
        <v>2</v>
      </c>
      <c r="AH65">
        <v>6</v>
      </c>
      <c r="AI65">
        <v>2.67</v>
      </c>
      <c r="AJ65">
        <v>35.187899999999999</v>
      </c>
      <c r="AK65">
        <v>13.391</v>
      </c>
    </row>
    <row r="66" spans="1:37" x14ac:dyDescent="0.2">
      <c r="A66">
        <v>65</v>
      </c>
      <c r="B66" t="s">
        <v>236</v>
      </c>
      <c r="C66" t="s">
        <v>67</v>
      </c>
      <c r="D66" s="1">
        <v>44833</v>
      </c>
      <c r="E66" s="2">
        <v>2.7442129629629632E-2</v>
      </c>
      <c r="F66" t="s">
        <v>1</v>
      </c>
      <c r="G66">
        <v>0</v>
      </c>
      <c r="H66">
        <v>0</v>
      </c>
      <c r="I66">
        <v>0</v>
      </c>
      <c r="J66" t="s">
        <v>2</v>
      </c>
      <c r="K66" t="s">
        <v>3</v>
      </c>
      <c r="L66">
        <v>1.9259999999999999</v>
      </c>
      <c r="M66">
        <v>11.0352</v>
      </c>
      <c r="N66">
        <v>0</v>
      </c>
      <c r="O66" t="s">
        <v>2</v>
      </c>
      <c r="P66" t="s">
        <v>169</v>
      </c>
      <c r="Q66" s="1">
        <v>44833</v>
      </c>
      <c r="R66" s="2">
        <v>2.7442129629629632E-2</v>
      </c>
      <c r="S66" t="s">
        <v>104</v>
      </c>
      <c r="T66">
        <v>1.1659999999999999</v>
      </c>
      <c r="U66">
        <v>2120.4117999999999</v>
      </c>
      <c r="V66">
        <v>0</v>
      </c>
      <c r="X66" t="s">
        <v>3</v>
      </c>
      <c r="Y66">
        <v>0</v>
      </c>
      <c r="Z66">
        <v>0</v>
      </c>
      <c r="AA66">
        <v>0</v>
      </c>
      <c r="AC66" t="s">
        <v>105</v>
      </c>
      <c r="AD66">
        <v>2.23</v>
      </c>
      <c r="AE66">
        <v>7.9752000000000001</v>
      </c>
      <c r="AF66">
        <v>4.82E-2</v>
      </c>
      <c r="AG66" t="s">
        <v>2</v>
      </c>
      <c r="AH66">
        <v>6</v>
      </c>
      <c r="AI66">
        <v>0</v>
      </c>
      <c r="AJ66">
        <v>0</v>
      </c>
      <c r="AK66">
        <v>0</v>
      </c>
    </row>
    <row r="67" spans="1:37" x14ac:dyDescent="0.2">
      <c r="A67">
        <v>66</v>
      </c>
      <c r="B67" t="s">
        <v>220</v>
      </c>
      <c r="C67" t="s">
        <v>68</v>
      </c>
      <c r="D67" s="1">
        <v>44833</v>
      </c>
      <c r="E67" s="2">
        <v>3.1192129629629629E-2</v>
      </c>
      <c r="F67" t="s">
        <v>1</v>
      </c>
      <c r="G67">
        <v>1.413</v>
      </c>
      <c r="H67">
        <v>0.30370000000000003</v>
      </c>
      <c r="I67">
        <v>0.59670000000000001</v>
      </c>
      <c r="J67" t="s">
        <v>2</v>
      </c>
      <c r="K67" t="s">
        <v>3</v>
      </c>
      <c r="L67">
        <v>1.9330000000000001</v>
      </c>
      <c r="M67">
        <v>82.586299999999994</v>
      </c>
      <c r="N67">
        <v>168.51499999999999</v>
      </c>
      <c r="O67" t="s">
        <v>2</v>
      </c>
      <c r="P67" t="s">
        <v>170</v>
      </c>
      <c r="Q67" s="1">
        <v>44833</v>
      </c>
      <c r="R67" s="2">
        <v>3.1192129629629629E-2</v>
      </c>
      <c r="S67" t="s">
        <v>104</v>
      </c>
      <c r="T67">
        <v>1.17</v>
      </c>
      <c r="U67">
        <v>3089.3701999999998</v>
      </c>
      <c r="V67">
        <v>0</v>
      </c>
      <c r="X67" t="s">
        <v>3</v>
      </c>
      <c r="Y67">
        <v>1.92</v>
      </c>
      <c r="Z67">
        <v>3.5042</v>
      </c>
      <c r="AA67">
        <v>0</v>
      </c>
      <c r="AC67" t="s">
        <v>105</v>
      </c>
      <c r="AD67">
        <v>2.23</v>
      </c>
      <c r="AE67">
        <v>49.889000000000003</v>
      </c>
      <c r="AF67">
        <v>0.19800000000000001</v>
      </c>
      <c r="AG67" t="s">
        <v>2</v>
      </c>
      <c r="AH67">
        <v>6</v>
      </c>
      <c r="AI67">
        <v>2.673</v>
      </c>
      <c r="AJ67">
        <v>33.003399999999999</v>
      </c>
      <c r="AK67">
        <v>12.5596</v>
      </c>
    </row>
    <row r="68" spans="1:37" x14ac:dyDescent="0.2">
      <c r="A68">
        <v>67</v>
      </c>
      <c r="B68" t="s">
        <v>237</v>
      </c>
      <c r="C68" t="s">
        <v>69</v>
      </c>
      <c r="D68" s="1">
        <v>44833</v>
      </c>
      <c r="E68" s="2">
        <v>3.4942129629629635E-2</v>
      </c>
      <c r="F68" t="s">
        <v>1</v>
      </c>
      <c r="G68">
        <v>0</v>
      </c>
      <c r="H68">
        <v>0</v>
      </c>
      <c r="I68">
        <v>0</v>
      </c>
      <c r="J68" t="s">
        <v>2</v>
      </c>
      <c r="K68" t="s">
        <v>3</v>
      </c>
      <c r="L68">
        <v>1.92</v>
      </c>
      <c r="M68">
        <v>11.2407</v>
      </c>
      <c r="N68">
        <v>0</v>
      </c>
      <c r="O68" t="s">
        <v>2</v>
      </c>
      <c r="P68" t="s">
        <v>171</v>
      </c>
      <c r="Q68" s="1">
        <v>44833</v>
      </c>
      <c r="R68" s="2">
        <v>3.4942129629629635E-2</v>
      </c>
      <c r="S68" t="s">
        <v>104</v>
      </c>
      <c r="T68">
        <v>1.1599999999999999</v>
      </c>
      <c r="U68">
        <v>2885.2258999999999</v>
      </c>
      <c r="V68">
        <v>0</v>
      </c>
      <c r="X68" t="s">
        <v>3</v>
      </c>
      <c r="Y68">
        <v>0</v>
      </c>
      <c r="Z68">
        <v>0</v>
      </c>
      <c r="AA68">
        <v>0</v>
      </c>
      <c r="AC68" t="s">
        <v>105</v>
      </c>
      <c r="AD68">
        <v>2.2200000000000002</v>
      </c>
      <c r="AE68">
        <v>8.4201999999999995</v>
      </c>
      <c r="AF68">
        <v>4.9700000000000001E-2</v>
      </c>
      <c r="AG68" t="s">
        <v>2</v>
      </c>
      <c r="AH68">
        <v>6</v>
      </c>
      <c r="AI68">
        <v>0</v>
      </c>
      <c r="AJ68">
        <v>0</v>
      </c>
      <c r="AK68">
        <v>0</v>
      </c>
    </row>
    <row r="69" spans="1:37" x14ac:dyDescent="0.2">
      <c r="A69">
        <v>68</v>
      </c>
      <c r="B69" t="s">
        <v>220</v>
      </c>
      <c r="C69" t="s">
        <v>70</v>
      </c>
      <c r="D69" s="1">
        <v>44833</v>
      </c>
      <c r="E69" s="2">
        <v>3.8703703703703705E-2</v>
      </c>
      <c r="F69" t="s">
        <v>1</v>
      </c>
      <c r="G69">
        <v>1.4</v>
      </c>
      <c r="H69">
        <v>0.41860000000000003</v>
      </c>
      <c r="I69">
        <v>1.1646000000000001</v>
      </c>
      <c r="J69" t="s">
        <v>2</v>
      </c>
      <c r="K69" t="s">
        <v>3</v>
      </c>
      <c r="L69">
        <v>1.92</v>
      </c>
      <c r="M69">
        <v>123.9372</v>
      </c>
      <c r="N69">
        <v>313.21949999999998</v>
      </c>
      <c r="O69" t="s">
        <v>2</v>
      </c>
      <c r="P69" t="s">
        <v>172</v>
      </c>
      <c r="Q69" s="1">
        <v>44833</v>
      </c>
      <c r="R69" s="2">
        <v>3.8703703703703705E-2</v>
      </c>
      <c r="S69" t="s">
        <v>104</v>
      </c>
      <c r="T69">
        <v>1.1599999999999999</v>
      </c>
      <c r="U69">
        <v>3576.9645999999998</v>
      </c>
      <c r="V69">
        <v>0</v>
      </c>
      <c r="X69" t="s">
        <v>3</v>
      </c>
      <c r="Y69">
        <v>1.873</v>
      </c>
      <c r="Z69">
        <v>2.9342000000000001</v>
      </c>
      <c r="AA69">
        <v>0</v>
      </c>
      <c r="AC69" t="s">
        <v>105</v>
      </c>
      <c r="AD69">
        <v>2.2200000000000002</v>
      </c>
      <c r="AE69">
        <v>80.011499999999998</v>
      </c>
      <c r="AF69">
        <v>0.30570000000000003</v>
      </c>
      <c r="AG69" t="s">
        <v>2</v>
      </c>
      <c r="AH69">
        <v>6</v>
      </c>
      <c r="AI69">
        <v>2.6629999999999998</v>
      </c>
      <c r="AJ69">
        <v>49.916200000000003</v>
      </c>
      <c r="AK69">
        <v>18.995899999999999</v>
      </c>
    </row>
    <row r="70" spans="1:37" x14ac:dyDescent="0.2">
      <c r="A70">
        <v>69</v>
      </c>
      <c r="B70" t="s">
        <v>238</v>
      </c>
      <c r="C70" t="s">
        <v>71</v>
      </c>
      <c r="D70" s="1">
        <v>44833</v>
      </c>
      <c r="E70" s="2">
        <v>4.2465277777777775E-2</v>
      </c>
      <c r="F70" t="s">
        <v>1</v>
      </c>
      <c r="G70">
        <v>0</v>
      </c>
      <c r="H70">
        <v>0</v>
      </c>
      <c r="I70">
        <v>0</v>
      </c>
      <c r="J70" t="s">
        <v>2</v>
      </c>
      <c r="K70" t="s">
        <v>3</v>
      </c>
      <c r="L70">
        <v>1.9330000000000001</v>
      </c>
      <c r="M70">
        <v>9.1587999999999994</v>
      </c>
      <c r="N70">
        <v>0</v>
      </c>
      <c r="O70" t="s">
        <v>2</v>
      </c>
      <c r="P70" t="s">
        <v>173</v>
      </c>
      <c r="Q70" s="1">
        <v>44833</v>
      </c>
      <c r="R70" s="2">
        <v>4.2465277777777775E-2</v>
      </c>
      <c r="S70" t="s">
        <v>104</v>
      </c>
      <c r="T70">
        <v>1.1659999999999999</v>
      </c>
      <c r="U70">
        <v>3494.6612</v>
      </c>
      <c r="V70">
        <v>0</v>
      </c>
      <c r="X70" t="s">
        <v>3</v>
      </c>
      <c r="Y70">
        <v>0</v>
      </c>
      <c r="Z70">
        <v>0</v>
      </c>
      <c r="AA70">
        <v>0</v>
      </c>
      <c r="AC70" t="s">
        <v>105</v>
      </c>
      <c r="AD70">
        <v>2.23</v>
      </c>
      <c r="AE70">
        <v>5.5534999999999997</v>
      </c>
      <c r="AF70">
        <v>3.95E-2</v>
      </c>
      <c r="AG70" t="s">
        <v>2</v>
      </c>
      <c r="AH70">
        <v>6</v>
      </c>
      <c r="AI70">
        <v>0</v>
      </c>
      <c r="AJ70">
        <v>0</v>
      </c>
      <c r="AK70">
        <v>0</v>
      </c>
    </row>
    <row r="71" spans="1:37" x14ac:dyDescent="0.2">
      <c r="A71">
        <v>70</v>
      </c>
      <c r="B71" t="s">
        <v>220</v>
      </c>
      <c r="C71" t="s">
        <v>72</v>
      </c>
      <c r="D71" s="1">
        <v>44833</v>
      </c>
      <c r="E71" s="2">
        <v>4.6226851851851852E-2</v>
      </c>
      <c r="F71" t="s">
        <v>1</v>
      </c>
      <c r="G71">
        <v>1.413</v>
      </c>
      <c r="H71">
        <v>0.34639999999999999</v>
      </c>
      <c r="I71">
        <v>0.80779999999999996</v>
      </c>
      <c r="J71" t="s">
        <v>2</v>
      </c>
      <c r="K71" t="s">
        <v>3</v>
      </c>
      <c r="L71">
        <v>1.93</v>
      </c>
      <c r="M71">
        <v>97.621399999999994</v>
      </c>
      <c r="N71">
        <v>221.1293</v>
      </c>
      <c r="O71" t="s">
        <v>2</v>
      </c>
      <c r="P71" t="s">
        <v>174</v>
      </c>
      <c r="Q71" s="1">
        <v>44833</v>
      </c>
      <c r="R71" s="2">
        <v>4.6226851851851852E-2</v>
      </c>
      <c r="S71" t="s">
        <v>104</v>
      </c>
      <c r="T71">
        <v>1.17</v>
      </c>
      <c r="U71">
        <v>3290.78</v>
      </c>
      <c r="V71">
        <v>0</v>
      </c>
      <c r="X71" t="s">
        <v>3</v>
      </c>
      <c r="Y71">
        <v>0</v>
      </c>
      <c r="Z71">
        <v>0</v>
      </c>
      <c r="AA71">
        <v>0</v>
      </c>
      <c r="AC71" t="s">
        <v>105</v>
      </c>
      <c r="AD71">
        <v>2.23</v>
      </c>
      <c r="AE71">
        <v>62.051699999999997</v>
      </c>
      <c r="AF71">
        <v>0.24149999999999999</v>
      </c>
      <c r="AG71" t="s">
        <v>2</v>
      </c>
      <c r="AH71">
        <v>6</v>
      </c>
      <c r="AI71">
        <v>2.67</v>
      </c>
      <c r="AJ71">
        <v>37.261400000000002</v>
      </c>
      <c r="AK71">
        <v>14.18</v>
      </c>
    </row>
    <row r="72" spans="1:37" x14ac:dyDescent="0.2">
      <c r="A72">
        <v>71</v>
      </c>
      <c r="B72" t="s">
        <v>220</v>
      </c>
      <c r="C72" t="s">
        <v>73</v>
      </c>
      <c r="D72" s="1">
        <v>44833</v>
      </c>
      <c r="E72" s="2">
        <v>4.9976851851851856E-2</v>
      </c>
      <c r="F72" t="s">
        <v>1</v>
      </c>
      <c r="G72">
        <v>1.41</v>
      </c>
      <c r="H72">
        <v>0.35680000000000001</v>
      </c>
      <c r="I72">
        <v>0.85919999999999996</v>
      </c>
      <c r="J72" t="s">
        <v>2</v>
      </c>
      <c r="K72" t="s">
        <v>3</v>
      </c>
      <c r="L72">
        <v>1.9330000000000001</v>
      </c>
      <c r="M72">
        <v>101.9106</v>
      </c>
      <c r="N72">
        <v>236.13900000000001</v>
      </c>
      <c r="O72" t="s">
        <v>2</v>
      </c>
      <c r="P72" t="s">
        <v>175</v>
      </c>
      <c r="Q72" s="1">
        <v>44833</v>
      </c>
      <c r="R72" s="2">
        <v>4.9976851851851856E-2</v>
      </c>
      <c r="S72" t="s">
        <v>104</v>
      </c>
      <c r="T72">
        <v>1.17</v>
      </c>
      <c r="U72">
        <v>3371.4333999999999</v>
      </c>
      <c r="V72">
        <v>0</v>
      </c>
      <c r="X72" t="s">
        <v>3</v>
      </c>
      <c r="Y72">
        <v>0</v>
      </c>
      <c r="Z72">
        <v>0</v>
      </c>
      <c r="AA72">
        <v>0</v>
      </c>
      <c r="AC72" t="s">
        <v>105</v>
      </c>
      <c r="AD72">
        <v>2.2330000000000001</v>
      </c>
      <c r="AE72">
        <v>65.498699999999999</v>
      </c>
      <c r="AF72">
        <v>0.25380000000000003</v>
      </c>
      <c r="AG72" t="s">
        <v>2</v>
      </c>
      <c r="AH72">
        <v>6</v>
      </c>
      <c r="AI72">
        <v>2.68</v>
      </c>
      <c r="AJ72">
        <v>37.871600000000001</v>
      </c>
      <c r="AK72">
        <v>14.4123</v>
      </c>
    </row>
    <row r="73" spans="1:37" x14ac:dyDescent="0.2">
      <c r="A73">
        <v>72</v>
      </c>
      <c r="B73" t="s">
        <v>220</v>
      </c>
      <c r="C73" t="s">
        <v>74</v>
      </c>
      <c r="D73" s="1">
        <v>44833</v>
      </c>
      <c r="E73" s="2">
        <v>5.3726851851851852E-2</v>
      </c>
      <c r="F73" t="s">
        <v>1</v>
      </c>
      <c r="G73">
        <v>1.3959999999999999</v>
      </c>
      <c r="H73">
        <v>0.3538</v>
      </c>
      <c r="I73">
        <v>0.84430000000000005</v>
      </c>
      <c r="J73" t="s">
        <v>2</v>
      </c>
      <c r="K73" t="s">
        <v>3</v>
      </c>
      <c r="L73">
        <v>1.913</v>
      </c>
      <c r="M73">
        <v>94.256799999999998</v>
      </c>
      <c r="N73">
        <v>209.35509999999999</v>
      </c>
      <c r="O73" t="s">
        <v>2</v>
      </c>
      <c r="P73" t="s">
        <v>176</v>
      </c>
      <c r="Q73" s="1">
        <v>44833</v>
      </c>
      <c r="R73" s="2">
        <v>5.3726851851851852E-2</v>
      </c>
      <c r="S73" t="s">
        <v>104</v>
      </c>
      <c r="T73">
        <v>1.1599999999999999</v>
      </c>
      <c r="U73">
        <v>3091.5128</v>
      </c>
      <c r="V73">
        <v>0</v>
      </c>
      <c r="X73" t="s">
        <v>3</v>
      </c>
      <c r="Y73">
        <v>0</v>
      </c>
      <c r="Z73">
        <v>0</v>
      </c>
      <c r="AA73">
        <v>0</v>
      </c>
      <c r="AC73" t="s">
        <v>105</v>
      </c>
      <c r="AD73">
        <v>2.21</v>
      </c>
      <c r="AE73">
        <v>63.225200000000001</v>
      </c>
      <c r="AF73">
        <v>0.2457</v>
      </c>
      <c r="AG73" t="s">
        <v>2</v>
      </c>
      <c r="AH73">
        <v>6</v>
      </c>
      <c r="AI73">
        <v>2.653</v>
      </c>
      <c r="AJ73">
        <v>37.531999999999996</v>
      </c>
      <c r="AK73">
        <v>14.282999999999999</v>
      </c>
    </row>
    <row r="74" spans="1:37" x14ac:dyDescent="0.2">
      <c r="A74">
        <v>73</v>
      </c>
      <c r="B74" t="s">
        <v>227</v>
      </c>
      <c r="C74" t="s">
        <v>75</v>
      </c>
      <c r="D74" s="1">
        <v>44833</v>
      </c>
      <c r="E74" s="2">
        <v>5.7476851851851855E-2</v>
      </c>
      <c r="F74" t="s">
        <v>1</v>
      </c>
      <c r="G74">
        <v>0</v>
      </c>
      <c r="H74">
        <v>0</v>
      </c>
      <c r="I74">
        <v>0</v>
      </c>
      <c r="J74" t="s">
        <v>2</v>
      </c>
      <c r="K74" t="s">
        <v>3</v>
      </c>
      <c r="L74">
        <v>1.923</v>
      </c>
      <c r="M74">
        <v>10.415900000000001</v>
      </c>
      <c r="N74">
        <v>0</v>
      </c>
      <c r="O74" t="s">
        <v>2</v>
      </c>
      <c r="P74" t="s">
        <v>177</v>
      </c>
      <c r="Q74" s="1">
        <v>44833</v>
      </c>
      <c r="R74" s="2">
        <v>5.7476851851851855E-2</v>
      </c>
      <c r="S74" t="s">
        <v>104</v>
      </c>
      <c r="T74">
        <v>1.163</v>
      </c>
      <c r="U74">
        <v>932.02560000000005</v>
      </c>
      <c r="V74">
        <v>0</v>
      </c>
      <c r="X74" t="s">
        <v>3</v>
      </c>
      <c r="Y74">
        <v>0</v>
      </c>
      <c r="Z74">
        <v>0</v>
      </c>
      <c r="AA74">
        <v>0</v>
      </c>
      <c r="AC74" t="s">
        <v>105</v>
      </c>
      <c r="AD74">
        <v>2.23</v>
      </c>
      <c r="AE74">
        <v>6.4603999999999999</v>
      </c>
      <c r="AF74">
        <v>4.2700000000000002E-2</v>
      </c>
      <c r="AG74" t="s">
        <v>2</v>
      </c>
      <c r="AH74">
        <v>6</v>
      </c>
      <c r="AI74">
        <v>0</v>
      </c>
      <c r="AJ74">
        <v>0</v>
      </c>
      <c r="AK74">
        <v>0</v>
      </c>
    </row>
    <row r="75" spans="1:37" x14ac:dyDescent="0.2">
      <c r="A75">
        <v>74</v>
      </c>
      <c r="B75" t="s">
        <v>220</v>
      </c>
      <c r="C75" t="s">
        <v>76</v>
      </c>
      <c r="D75" s="1">
        <v>44833</v>
      </c>
      <c r="E75" s="2">
        <v>6.1238425925925925E-2</v>
      </c>
      <c r="F75" t="s">
        <v>1</v>
      </c>
      <c r="G75">
        <v>1.4059999999999999</v>
      </c>
      <c r="H75">
        <v>0.34560000000000002</v>
      </c>
      <c r="I75">
        <v>0.80379999999999996</v>
      </c>
      <c r="J75" t="s">
        <v>2</v>
      </c>
      <c r="K75" t="s">
        <v>3</v>
      </c>
      <c r="L75">
        <v>1.923</v>
      </c>
      <c r="M75">
        <v>86.587999999999994</v>
      </c>
      <c r="N75">
        <v>182.5187</v>
      </c>
      <c r="O75" t="s">
        <v>2</v>
      </c>
      <c r="P75" t="s">
        <v>178</v>
      </c>
      <c r="Q75" s="1">
        <v>44833</v>
      </c>
      <c r="R75" s="2">
        <v>6.1238425925925925E-2</v>
      </c>
      <c r="S75" t="s">
        <v>104</v>
      </c>
      <c r="T75">
        <v>1.1659999999999999</v>
      </c>
      <c r="U75">
        <v>3051.8824</v>
      </c>
      <c r="V75">
        <v>0</v>
      </c>
      <c r="X75" t="s">
        <v>3</v>
      </c>
      <c r="Y75">
        <v>0</v>
      </c>
      <c r="Z75">
        <v>0</v>
      </c>
      <c r="AA75">
        <v>0</v>
      </c>
      <c r="AC75" t="s">
        <v>105</v>
      </c>
      <c r="AD75">
        <v>2.2229999999999999</v>
      </c>
      <c r="AE75">
        <v>52.705399999999997</v>
      </c>
      <c r="AF75">
        <v>0.20810000000000001</v>
      </c>
      <c r="AG75" t="s">
        <v>2</v>
      </c>
      <c r="AH75">
        <v>6</v>
      </c>
      <c r="AI75">
        <v>2.66</v>
      </c>
      <c r="AJ75">
        <v>30.677399999999999</v>
      </c>
      <c r="AK75">
        <v>11.6745</v>
      </c>
    </row>
    <row r="76" spans="1:37" x14ac:dyDescent="0.2">
      <c r="A76">
        <v>75</v>
      </c>
      <c r="B76" t="s">
        <v>231</v>
      </c>
      <c r="C76" t="s">
        <v>77</v>
      </c>
      <c r="D76" s="1">
        <v>44833</v>
      </c>
      <c r="E76" s="2">
        <v>6.4988425925925922E-2</v>
      </c>
      <c r="F76" t="s">
        <v>1</v>
      </c>
      <c r="G76">
        <v>1.4059999999999999</v>
      </c>
      <c r="H76">
        <v>0.1522</v>
      </c>
      <c r="I76">
        <v>0</v>
      </c>
      <c r="J76" t="s">
        <v>2</v>
      </c>
      <c r="K76" t="s">
        <v>3</v>
      </c>
      <c r="L76">
        <v>1.9330000000000001</v>
      </c>
      <c r="M76">
        <v>34.2288</v>
      </c>
      <c r="N76">
        <v>0</v>
      </c>
      <c r="O76" t="s">
        <v>2</v>
      </c>
      <c r="P76" t="s">
        <v>179</v>
      </c>
      <c r="Q76" s="1">
        <v>44833</v>
      </c>
      <c r="R76" s="2">
        <v>6.4988425925925922E-2</v>
      </c>
      <c r="S76" t="s">
        <v>104</v>
      </c>
      <c r="T76">
        <v>1.1659999999999999</v>
      </c>
      <c r="U76">
        <v>1846.8723</v>
      </c>
      <c r="V76">
        <v>0</v>
      </c>
      <c r="X76" t="s">
        <v>3</v>
      </c>
      <c r="Y76">
        <v>0</v>
      </c>
      <c r="Z76">
        <v>0</v>
      </c>
      <c r="AA76">
        <v>0</v>
      </c>
      <c r="AC76" t="s">
        <v>105</v>
      </c>
      <c r="AD76">
        <v>2.23</v>
      </c>
      <c r="AE76">
        <v>19.209399999999999</v>
      </c>
      <c r="AF76">
        <v>8.8300000000000003E-2</v>
      </c>
      <c r="AG76" t="s">
        <v>2</v>
      </c>
      <c r="AH76">
        <v>6</v>
      </c>
      <c r="AI76">
        <v>2.673</v>
      </c>
      <c r="AJ76">
        <v>12.353</v>
      </c>
      <c r="AK76">
        <v>4.7009999999999996</v>
      </c>
    </row>
    <row r="77" spans="1:37" x14ac:dyDescent="0.2">
      <c r="A77">
        <v>76</v>
      </c>
      <c r="B77" t="s">
        <v>220</v>
      </c>
      <c r="C77" t="s">
        <v>78</v>
      </c>
      <c r="D77" s="1">
        <v>44833</v>
      </c>
      <c r="E77" s="2">
        <v>6.8749999999999992E-2</v>
      </c>
      <c r="F77" t="s">
        <v>1</v>
      </c>
      <c r="G77">
        <v>1.4059999999999999</v>
      </c>
      <c r="H77">
        <v>0.41920000000000002</v>
      </c>
      <c r="I77">
        <v>1.1676</v>
      </c>
      <c r="J77" t="s">
        <v>2</v>
      </c>
      <c r="K77" t="s">
        <v>3</v>
      </c>
      <c r="L77">
        <v>1.923</v>
      </c>
      <c r="M77">
        <v>103.2186</v>
      </c>
      <c r="N77">
        <v>240.71629999999999</v>
      </c>
      <c r="O77" t="s">
        <v>2</v>
      </c>
      <c r="P77" t="s">
        <v>180</v>
      </c>
      <c r="Q77" s="1">
        <v>44833</v>
      </c>
      <c r="R77" s="2">
        <v>6.8749999999999992E-2</v>
      </c>
      <c r="S77" t="s">
        <v>104</v>
      </c>
      <c r="T77">
        <v>1.1659999999999999</v>
      </c>
      <c r="U77">
        <v>3270.3069999999998</v>
      </c>
      <c r="V77">
        <v>0</v>
      </c>
      <c r="X77" t="s">
        <v>3</v>
      </c>
      <c r="Y77">
        <v>0</v>
      </c>
      <c r="Z77">
        <v>0</v>
      </c>
      <c r="AA77">
        <v>0</v>
      </c>
      <c r="AC77" t="s">
        <v>105</v>
      </c>
      <c r="AD77">
        <v>2.2229999999999999</v>
      </c>
      <c r="AE77">
        <v>69.677999999999997</v>
      </c>
      <c r="AF77">
        <v>0.26869999999999999</v>
      </c>
      <c r="AG77" t="s">
        <v>2</v>
      </c>
      <c r="AH77">
        <v>6</v>
      </c>
      <c r="AI77">
        <v>2.6629999999999998</v>
      </c>
      <c r="AJ77">
        <v>40.702800000000003</v>
      </c>
      <c r="AK77">
        <v>15.489699999999999</v>
      </c>
    </row>
    <row r="78" spans="1:37" x14ac:dyDescent="0.2">
      <c r="A78">
        <v>77</v>
      </c>
      <c r="B78" t="s">
        <v>228</v>
      </c>
      <c r="C78" t="s">
        <v>79</v>
      </c>
      <c r="D78" s="1">
        <v>44833</v>
      </c>
      <c r="E78" s="2">
        <v>7.2511574074074062E-2</v>
      </c>
      <c r="F78" t="s">
        <v>1</v>
      </c>
      <c r="G78">
        <v>1.41</v>
      </c>
      <c r="H78">
        <v>0.21029999999999999</v>
      </c>
      <c r="I78">
        <v>0.13500000000000001</v>
      </c>
      <c r="J78" t="s">
        <v>2</v>
      </c>
      <c r="K78" t="s">
        <v>3</v>
      </c>
      <c r="L78">
        <v>1.9259999999999999</v>
      </c>
      <c r="M78">
        <v>53.994</v>
      </c>
      <c r="N78">
        <v>68.458399999999997</v>
      </c>
      <c r="O78" t="s">
        <v>2</v>
      </c>
      <c r="P78" t="s">
        <v>181</v>
      </c>
      <c r="Q78" s="1">
        <v>44833</v>
      </c>
      <c r="R78" s="2">
        <v>7.2511574074074062E-2</v>
      </c>
      <c r="S78" t="s">
        <v>104</v>
      </c>
      <c r="T78">
        <v>1.1659999999999999</v>
      </c>
      <c r="U78">
        <v>2293.5387999999998</v>
      </c>
      <c r="V78">
        <v>0</v>
      </c>
      <c r="X78" t="s">
        <v>3</v>
      </c>
      <c r="Y78">
        <v>0</v>
      </c>
      <c r="Z78">
        <v>0</v>
      </c>
      <c r="AA78">
        <v>0</v>
      </c>
      <c r="AC78" t="s">
        <v>105</v>
      </c>
      <c r="AD78">
        <v>2.2229999999999999</v>
      </c>
      <c r="AE78">
        <v>36.027099999999997</v>
      </c>
      <c r="AF78">
        <v>0.1484</v>
      </c>
      <c r="AG78" t="s">
        <v>2</v>
      </c>
      <c r="AH78">
        <v>6</v>
      </c>
      <c r="AI78">
        <v>2.67</v>
      </c>
      <c r="AJ78">
        <v>21.386600000000001</v>
      </c>
      <c r="AK78">
        <v>8.1387999999999998</v>
      </c>
    </row>
    <row r="79" spans="1:37" x14ac:dyDescent="0.2">
      <c r="A79">
        <v>78</v>
      </c>
      <c r="B79" t="s">
        <v>220</v>
      </c>
      <c r="C79" t="s">
        <v>80</v>
      </c>
      <c r="D79" s="1">
        <v>44833</v>
      </c>
      <c r="E79" s="2">
        <v>7.6261574074074079E-2</v>
      </c>
      <c r="F79" t="s">
        <v>1</v>
      </c>
      <c r="G79">
        <v>1.4</v>
      </c>
      <c r="H79">
        <v>0.32169999999999999</v>
      </c>
      <c r="I79">
        <v>0.68569999999999998</v>
      </c>
      <c r="J79" t="s">
        <v>2</v>
      </c>
      <c r="K79" t="s">
        <v>3</v>
      </c>
      <c r="L79">
        <v>1.9159999999999999</v>
      </c>
      <c r="M79">
        <v>89.021000000000001</v>
      </c>
      <c r="N79">
        <v>191.03280000000001</v>
      </c>
      <c r="O79" t="s">
        <v>2</v>
      </c>
      <c r="P79" t="s">
        <v>182</v>
      </c>
      <c r="Q79" s="1">
        <v>44833</v>
      </c>
      <c r="R79" s="2">
        <v>7.6261574074074079E-2</v>
      </c>
      <c r="S79" t="s">
        <v>104</v>
      </c>
      <c r="T79">
        <v>1.1599999999999999</v>
      </c>
      <c r="U79">
        <v>3113.6203999999998</v>
      </c>
      <c r="V79">
        <v>0</v>
      </c>
      <c r="X79" t="s">
        <v>3</v>
      </c>
      <c r="Y79">
        <v>0</v>
      </c>
      <c r="Z79">
        <v>0</v>
      </c>
      <c r="AA79">
        <v>0</v>
      </c>
      <c r="AC79" t="s">
        <v>105</v>
      </c>
      <c r="AD79">
        <v>2.2130000000000001</v>
      </c>
      <c r="AE79">
        <v>59.3508</v>
      </c>
      <c r="AF79">
        <v>0.23180000000000001</v>
      </c>
      <c r="AG79" t="s">
        <v>2</v>
      </c>
      <c r="AH79">
        <v>6</v>
      </c>
      <c r="AI79">
        <v>2.653</v>
      </c>
      <c r="AJ79">
        <v>35.591000000000001</v>
      </c>
      <c r="AK79">
        <v>13.5444</v>
      </c>
    </row>
    <row r="80" spans="1:37" x14ac:dyDescent="0.2">
      <c r="A80">
        <v>79</v>
      </c>
      <c r="B80" t="s">
        <v>232</v>
      </c>
      <c r="C80" t="s">
        <v>81</v>
      </c>
      <c r="D80" s="1">
        <v>44833</v>
      </c>
      <c r="E80" s="2">
        <v>8.0023148148148149E-2</v>
      </c>
      <c r="F80" t="s">
        <v>1</v>
      </c>
      <c r="G80">
        <v>1.4059999999999999</v>
      </c>
      <c r="H80">
        <v>0.30640000000000001</v>
      </c>
      <c r="I80">
        <v>0.61</v>
      </c>
      <c r="J80" t="s">
        <v>2</v>
      </c>
      <c r="K80" t="s">
        <v>3</v>
      </c>
      <c r="L80">
        <v>1.923</v>
      </c>
      <c r="M80">
        <v>81.463099999999997</v>
      </c>
      <c r="N80">
        <v>164.58449999999999</v>
      </c>
      <c r="O80" t="s">
        <v>2</v>
      </c>
      <c r="P80" t="s">
        <v>183</v>
      </c>
      <c r="Q80" s="1">
        <v>44833</v>
      </c>
      <c r="R80" s="2">
        <v>8.0023148148148149E-2</v>
      </c>
      <c r="S80" t="s">
        <v>104</v>
      </c>
      <c r="T80">
        <v>1.163</v>
      </c>
      <c r="U80">
        <v>2780.6727000000001</v>
      </c>
      <c r="V80">
        <v>0</v>
      </c>
      <c r="X80" t="s">
        <v>3</v>
      </c>
      <c r="Y80">
        <v>0</v>
      </c>
      <c r="Z80">
        <v>0</v>
      </c>
      <c r="AA80">
        <v>0</v>
      </c>
      <c r="AC80" t="s">
        <v>105</v>
      </c>
      <c r="AD80">
        <v>2.2200000000000002</v>
      </c>
      <c r="AE80">
        <v>51.624299999999998</v>
      </c>
      <c r="AF80">
        <v>0.20419999999999999</v>
      </c>
      <c r="AG80" t="s">
        <v>2</v>
      </c>
      <c r="AH80">
        <v>6</v>
      </c>
      <c r="AI80">
        <v>2.66</v>
      </c>
      <c r="AJ80">
        <v>30.108799999999999</v>
      </c>
      <c r="AK80">
        <v>11.4581</v>
      </c>
    </row>
    <row r="81" spans="1:37" x14ac:dyDescent="0.2">
      <c r="A81">
        <v>80</v>
      </c>
      <c r="B81" t="s">
        <v>220</v>
      </c>
      <c r="C81" t="s">
        <v>82</v>
      </c>
      <c r="D81" s="1">
        <v>44833</v>
      </c>
      <c r="E81" s="2">
        <v>8.3773148148148138E-2</v>
      </c>
      <c r="F81" t="s">
        <v>1</v>
      </c>
      <c r="G81">
        <v>1.403</v>
      </c>
      <c r="H81">
        <v>0.34899999999999998</v>
      </c>
      <c r="I81">
        <v>0.8206</v>
      </c>
      <c r="J81" t="s">
        <v>2</v>
      </c>
      <c r="K81" t="s">
        <v>3</v>
      </c>
      <c r="L81">
        <v>1.9159999999999999</v>
      </c>
      <c r="M81">
        <v>98.411600000000007</v>
      </c>
      <c r="N81">
        <v>223.89449999999999</v>
      </c>
      <c r="O81" t="s">
        <v>2</v>
      </c>
      <c r="P81" t="s">
        <v>184</v>
      </c>
      <c r="Q81" s="1">
        <v>44833</v>
      </c>
      <c r="R81" s="2">
        <v>8.3773148148148138E-2</v>
      </c>
      <c r="S81" t="s">
        <v>104</v>
      </c>
      <c r="T81">
        <v>1.163</v>
      </c>
      <c r="U81">
        <v>3174.0236</v>
      </c>
      <c r="V81">
        <v>0</v>
      </c>
      <c r="X81" t="s">
        <v>3</v>
      </c>
      <c r="Y81">
        <v>0</v>
      </c>
      <c r="Z81">
        <v>0</v>
      </c>
      <c r="AA81">
        <v>0</v>
      </c>
      <c r="AC81" t="s">
        <v>105</v>
      </c>
      <c r="AD81">
        <v>2.2160000000000002</v>
      </c>
      <c r="AE81">
        <v>64.854100000000003</v>
      </c>
      <c r="AF81">
        <v>0.2515</v>
      </c>
      <c r="AG81" t="s">
        <v>2</v>
      </c>
      <c r="AH81">
        <v>6</v>
      </c>
      <c r="AI81">
        <v>2.66</v>
      </c>
      <c r="AJ81">
        <v>40.194600000000001</v>
      </c>
      <c r="AK81">
        <v>15.2963</v>
      </c>
    </row>
    <row r="82" spans="1:37" x14ac:dyDescent="0.2">
      <c r="A82">
        <v>81</v>
      </c>
      <c r="B82" t="s">
        <v>229</v>
      </c>
      <c r="C82" t="s">
        <v>83</v>
      </c>
      <c r="D82" s="1">
        <v>44833</v>
      </c>
      <c r="E82" s="2">
        <v>8.7534722222222208E-2</v>
      </c>
      <c r="F82" t="s">
        <v>1</v>
      </c>
      <c r="G82">
        <v>1.4059999999999999</v>
      </c>
      <c r="H82">
        <v>0.38300000000000001</v>
      </c>
      <c r="I82">
        <v>0.98870000000000002</v>
      </c>
      <c r="J82" t="s">
        <v>2</v>
      </c>
      <c r="K82" t="s">
        <v>3</v>
      </c>
      <c r="L82">
        <v>1.923</v>
      </c>
      <c r="M82">
        <v>101.49679999999999</v>
      </c>
      <c r="N82">
        <v>234.6909</v>
      </c>
      <c r="O82" t="s">
        <v>2</v>
      </c>
      <c r="P82" t="s">
        <v>185</v>
      </c>
      <c r="Q82" s="1">
        <v>44833</v>
      </c>
      <c r="R82" s="2">
        <v>8.7534722222222208E-2</v>
      </c>
      <c r="S82" t="s">
        <v>104</v>
      </c>
      <c r="T82">
        <v>1.1659999999999999</v>
      </c>
      <c r="U82">
        <v>3212.7058000000002</v>
      </c>
      <c r="V82">
        <v>0</v>
      </c>
      <c r="X82" t="s">
        <v>3</v>
      </c>
      <c r="Y82">
        <v>0</v>
      </c>
      <c r="Z82">
        <v>0</v>
      </c>
      <c r="AA82">
        <v>0</v>
      </c>
      <c r="AC82" t="s">
        <v>105</v>
      </c>
      <c r="AD82">
        <v>2.2229999999999999</v>
      </c>
      <c r="AE82">
        <v>65.927099999999996</v>
      </c>
      <c r="AF82">
        <v>0.25530000000000003</v>
      </c>
      <c r="AG82" t="s">
        <v>2</v>
      </c>
      <c r="AH82">
        <v>6</v>
      </c>
      <c r="AI82">
        <v>2.66</v>
      </c>
      <c r="AJ82">
        <v>41.303600000000003</v>
      </c>
      <c r="AK82">
        <v>15.718299999999999</v>
      </c>
    </row>
    <row r="83" spans="1:37" x14ac:dyDescent="0.2">
      <c r="A83">
        <v>82</v>
      </c>
      <c r="B83" t="s">
        <v>220</v>
      </c>
      <c r="C83" t="s">
        <v>84</v>
      </c>
      <c r="D83" s="1">
        <v>44833</v>
      </c>
      <c r="E83" s="2">
        <v>9.1284722222222225E-2</v>
      </c>
      <c r="F83" t="s">
        <v>1</v>
      </c>
      <c r="G83">
        <v>1.4059999999999999</v>
      </c>
      <c r="H83">
        <v>0.32390000000000002</v>
      </c>
      <c r="I83">
        <v>0.69650000000000001</v>
      </c>
      <c r="J83" t="s">
        <v>2</v>
      </c>
      <c r="K83" t="s">
        <v>3</v>
      </c>
      <c r="L83">
        <v>1.92</v>
      </c>
      <c r="M83">
        <v>88.744399999999999</v>
      </c>
      <c r="N83">
        <v>190.06489999999999</v>
      </c>
      <c r="O83" t="s">
        <v>2</v>
      </c>
      <c r="P83" t="s">
        <v>186</v>
      </c>
      <c r="Q83" s="1">
        <v>44833</v>
      </c>
      <c r="R83" s="2">
        <v>9.1284722222222225E-2</v>
      </c>
      <c r="S83" t="s">
        <v>104</v>
      </c>
      <c r="T83">
        <v>1.1659999999999999</v>
      </c>
      <c r="U83">
        <v>3064.3987999999999</v>
      </c>
      <c r="V83">
        <v>0</v>
      </c>
      <c r="X83" t="s">
        <v>3</v>
      </c>
      <c r="Y83">
        <v>1.89</v>
      </c>
      <c r="Z83">
        <v>2.6564000000000001</v>
      </c>
      <c r="AA83">
        <v>0</v>
      </c>
      <c r="AC83" t="s">
        <v>105</v>
      </c>
      <c r="AD83">
        <v>2.2200000000000002</v>
      </c>
      <c r="AE83">
        <v>60.067799999999998</v>
      </c>
      <c r="AF83">
        <v>0.2344</v>
      </c>
      <c r="AG83" t="s">
        <v>2</v>
      </c>
      <c r="AH83">
        <v>6</v>
      </c>
      <c r="AI83">
        <v>2.653</v>
      </c>
      <c r="AJ83">
        <v>34.9268</v>
      </c>
      <c r="AK83">
        <v>13.291600000000001</v>
      </c>
    </row>
    <row r="84" spans="1:37" x14ac:dyDescent="0.2">
      <c r="A84">
        <v>83</v>
      </c>
      <c r="B84" t="s">
        <v>233</v>
      </c>
      <c r="C84" t="s">
        <v>85</v>
      </c>
      <c r="D84" s="1">
        <v>44833</v>
      </c>
      <c r="E84" s="2">
        <v>9.5046296296296295E-2</v>
      </c>
      <c r="F84" t="s">
        <v>1</v>
      </c>
      <c r="G84">
        <v>1.4</v>
      </c>
      <c r="H84">
        <v>0.42680000000000001</v>
      </c>
      <c r="I84">
        <v>1.2052</v>
      </c>
      <c r="J84" t="s">
        <v>2</v>
      </c>
      <c r="K84" t="s">
        <v>3</v>
      </c>
      <c r="L84">
        <v>1.9159999999999999</v>
      </c>
      <c r="M84">
        <v>120.5926</v>
      </c>
      <c r="N84">
        <v>301.51530000000002</v>
      </c>
      <c r="O84" t="s">
        <v>2</v>
      </c>
      <c r="P84" t="s">
        <v>187</v>
      </c>
      <c r="Q84" s="1">
        <v>44833</v>
      </c>
      <c r="R84" s="2">
        <v>9.5046296296296295E-2</v>
      </c>
      <c r="S84" t="s">
        <v>104</v>
      </c>
      <c r="T84">
        <v>1.1599999999999999</v>
      </c>
      <c r="U84">
        <v>3380.2003</v>
      </c>
      <c r="V84">
        <v>0</v>
      </c>
      <c r="X84" t="s">
        <v>3</v>
      </c>
      <c r="Y84">
        <v>0</v>
      </c>
      <c r="Z84">
        <v>0</v>
      </c>
      <c r="AA84">
        <v>0</v>
      </c>
      <c r="AC84" t="s">
        <v>105</v>
      </c>
      <c r="AD84">
        <v>2.2130000000000001</v>
      </c>
      <c r="AE84">
        <v>76.516800000000003</v>
      </c>
      <c r="AF84">
        <v>0.29320000000000002</v>
      </c>
      <c r="AG84" t="s">
        <v>2</v>
      </c>
      <c r="AH84">
        <v>6</v>
      </c>
      <c r="AI84">
        <v>2.6560000000000001</v>
      </c>
      <c r="AJ84">
        <v>43.058999999999997</v>
      </c>
      <c r="AK84">
        <v>16.386299999999999</v>
      </c>
    </row>
    <row r="85" spans="1:37" x14ac:dyDescent="0.2">
      <c r="A85">
        <v>84</v>
      </c>
      <c r="B85" t="s">
        <v>220</v>
      </c>
      <c r="C85" t="s">
        <v>86</v>
      </c>
      <c r="D85" s="1">
        <v>44833</v>
      </c>
      <c r="E85" s="2">
        <v>9.8796296296296285E-2</v>
      </c>
      <c r="F85" t="s">
        <v>1</v>
      </c>
      <c r="G85">
        <v>1.41</v>
      </c>
      <c r="H85">
        <v>0.31890000000000002</v>
      </c>
      <c r="I85">
        <v>0.67179999999999995</v>
      </c>
      <c r="J85" t="s">
        <v>2</v>
      </c>
      <c r="K85" t="s">
        <v>3</v>
      </c>
      <c r="L85">
        <v>1.9259999999999999</v>
      </c>
      <c r="M85">
        <v>81.2821</v>
      </c>
      <c r="N85">
        <v>163.9511</v>
      </c>
      <c r="O85" t="s">
        <v>2</v>
      </c>
      <c r="P85" t="s">
        <v>188</v>
      </c>
      <c r="Q85" s="1">
        <v>44833</v>
      </c>
      <c r="R85" s="2">
        <v>9.8796296296296285E-2</v>
      </c>
      <c r="S85" t="s">
        <v>104</v>
      </c>
      <c r="T85">
        <v>1.17</v>
      </c>
      <c r="U85">
        <v>3026.0160000000001</v>
      </c>
      <c r="V85">
        <v>0</v>
      </c>
      <c r="X85" t="s">
        <v>3</v>
      </c>
      <c r="Y85">
        <v>0</v>
      </c>
      <c r="Z85">
        <v>0</v>
      </c>
      <c r="AA85">
        <v>0</v>
      </c>
      <c r="AC85" t="s">
        <v>105</v>
      </c>
      <c r="AD85">
        <v>2.226</v>
      </c>
      <c r="AE85">
        <v>53.655200000000001</v>
      </c>
      <c r="AF85">
        <v>0.21149999999999999</v>
      </c>
      <c r="AG85" t="s">
        <v>2</v>
      </c>
      <c r="AH85">
        <v>6</v>
      </c>
      <c r="AI85">
        <v>2.6629999999999998</v>
      </c>
      <c r="AJ85">
        <v>31.487400000000001</v>
      </c>
      <c r="AK85">
        <v>11.982699999999999</v>
      </c>
    </row>
    <row r="86" spans="1:37" x14ac:dyDescent="0.2">
      <c r="A86">
        <v>85</v>
      </c>
      <c r="B86" t="s">
        <v>230</v>
      </c>
      <c r="C86" t="s">
        <v>87</v>
      </c>
      <c r="D86" s="1">
        <v>44833</v>
      </c>
      <c r="E86" s="2">
        <v>0.1025462962962963</v>
      </c>
      <c r="F86" t="s">
        <v>1</v>
      </c>
      <c r="G86">
        <v>1.4</v>
      </c>
      <c r="H86">
        <v>0.45619999999999999</v>
      </c>
      <c r="I86">
        <v>1.3505</v>
      </c>
      <c r="J86" t="s">
        <v>2</v>
      </c>
      <c r="K86" t="s">
        <v>3</v>
      </c>
      <c r="L86">
        <v>1.92</v>
      </c>
      <c r="M86">
        <v>135.8554</v>
      </c>
      <c r="N86">
        <v>354.9264</v>
      </c>
      <c r="O86" t="s">
        <v>2</v>
      </c>
      <c r="P86" t="s">
        <v>189</v>
      </c>
      <c r="Q86" s="1">
        <v>44833</v>
      </c>
      <c r="R86" s="2">
        <v>0.1025462962962963</v>
      </c>
      <c r="S86" t="s">
        <v>104</v>
      </c>
      <c r="T86">
        <v>1.163</v>
      </c>
      <c r="U86">
        <v>3713.3326999999999</v>
      </c>
      <c r="V86">
        <v>0</v>
      </c>
      <c r="X86" t="s">
        <v>3</v>
      </c>
      <c r="Y86">
        <v>1.893</v>
      </c>
      <c r="Z86">
        <v>4.1054000000000004</v>
      </c>
      <c r="AA86">
        <v>0</v>
      </c>
      <c r="AC86" t="s">
        <v>105</v>
      </c>
      <c r="AD86">
        <v>2.2160000000000002</v>
      </c>
      <c r="AE86">
        <v>91.801400000000001</v>
      </c>
      <c r="AF86">
        <v>0.3478</v>
      </c>
      <c r="AG86" t="s">
        <v>2</v>
      </c>
      <c r="AH86">
        <v>6</v>
      </c>
      <c r="AI86">
        <v>2.6629999999999998</v>
      </c>
      <c r="AJ86">
        <v>53.552</v>
      </c>
      <c r="AK86">
        <v>20.3795</v>
      </c>
    </row>
    <row r="87" spans="1:37" x14ac:dyDescent="0.2">
      <c r="A87">
        <v>86</v>
      </c>
      <c r="B87" t="s">
        <v>220</v>
      </c>
      <c r="C87" t="s">
        <v>88</v>
      </c>
      <c r="D87" s="1">
        <v>44833</v>
      </c>
      <c r="E87" s="2">
        <v>0.10629629629629629</v>
      </c>
      <c r="F87" t="s">
        <v>1</v>
      </c>
      <c r="G87">
        <v>1.403</v>
      </c>
      <c r="H87">
        <v>0.37740000000000001</v>
      </c>
      <c r="I87">
        <v>0.96099999999999997</v>
      </c>
      <c r="J87" t="s">
        <v>2</v>
      </c>
      <c r="K87" t="s">
        <v>3</v>
      </c>
      <c r="L87">
        <v>1.92</v>
      </c>
      <c r="M87">
        <v>102.026</v>
      </c>
      <c r="N87">
        <v>236.5428</v>
      </c>
      <c r="O87" t="s">
        <v>2</v>
      </c>
      <c r="P87" t="s">
        <v>190</v>
      </c>
      <c r="Q87" s="1">
        <v>44833</v>
      </c>
      <c r="R87" s="2">
        <v>0.10629629629629629</v>
      </c>
      <c r="S87" t="s">
        <v>104</v>
      </c>
      <c r="T87">
        <v>1.163</v>
      </c>
      <c r="U87">
        <v>3340.2469999999998</v>
      </c>
      <c r="V87">
        <v>0</v>
      </c>
      <c r="X87" t="s">
        <v>3</v>
      </c>
      <c r="Y87">
        <v>1.89</v>
      </c>
      <c r="Z87">
        <v>2.5406</v>
      </c>
      <c r="AA87">
        <v>0</v>
      </c>
      <c r="AC87" t="s">
        <v>105</v>
      </c>
      <c r="AD87">
        <v>2.2160000000000002</v>
      </c>
      <c r="AE87">
        <v>72.131399999999999</v>
      </c>
      <c r="AF87">
        <v>0.27750000000000002</v>
      </c>
      <c r="AG87" t="s">
        <v>2</v>
      </c>
      <c r="AH87">
        <v>6</v>
      </c>
      <c r="AI87">
        <v>2.6560000000000001</v>
      </c>
      <c r="AJ87">
        <v>42.817599999999999</v>
      </c>
      <c r="AK87">
        <v>16.294499999999999</v>
      </c>
    </row>
    <row r="88" spans="1:37" x14ac:dyDescent="0.2">
      <c r="A88">
        <v>87</v>
      </c>
      <c r="B88" t="s">
        <v>220</v>
      </c>
      <c r="C88" t="s">
        <v>89</v>
      </c>
      <c r="D88" s="1">
        <v>44833</v>
      </c>
      <c r="E88" s="2">
        <v>0.11004629629629629</v>
      </c>
      <c r="F88" t="s">
        <v>1</v>
      </c>
      <c r="G88">
        <v>1.413</v>
      </c>
      <c r="H88">
        <v>0.38779999999999998</v>
      </c>
      <c r="I88">
        <v>1.0124</v>
      </c>
      <c r="J88" t="s">
        <v>2</v>
      </c>
      <c r="K88" t="s">
        <v>3</v>
      </c>
      <c r="L88">
        <v>1.93</v>
      </c>
      <c r="M88">
        <v>106.52760000000001</v>
      </c>
      <c r="N88">
        <v>252.29589999999999</v>
      </c>
      <c r="O88" t="s">
        <v>2</v>
      </c>
      <c r="P88" t="s">
        <v>191</v>
      </c>
      <c r="Q88" s="1">
        <v>44833</v>
      </c>
      <c r="R88" s="2">
        <v>0.11004629629629629</v>
      </c>
      <c r="S88" t="s">
        <v>104</v>
      </c>
      <c r="T88">
        <v>1.17</v>
      </c>
      <c r="U88">
        <v>3474.0834</v>
      </c>
      <c r="V88">
        <v>0</v>
      </c>
      <c r="X88" t="s">
        <v>3</v>
      </c>
      <c r="Y88">
        <v>1.903</v>
      </c>
      <c r="Z88">
        <v>2.9609999999999999</v>
      </c>
      <c r="AA88">
        <v>0</v>
      </c>
      <c r="AC88" t="s">
        <v>105</v>
      </c>
      <c r="AD88">
        <v>2.23</v>
      </c>
      <c r="AE88">
        <v>76.017600000000002</v>
      </c>
      <c r="AF88">
        <v>0.29139999999999999</v>
      </c>
      <c r="AG88" t="s">
        <v>2</v>
      </c>
      <c r="AH88">
        <v>6</v>
      </c>
      <c r="AI88">
        <v>2.67</v>
      </c>
      <c r="AJ88">
        <v>42.398000000000003</v>
      </c>
      <c r="AK88">
        <v>16.134799999999998</v>
      </c>
    </row>
    <row r="89" spans="1:37" x14ac:dyDescent="0.2">
      <c r="A89">
        <v>88</v>
      </c>
      <c r="B89" t="s">
        <v>220</v>
      </c>
      <c r="C89" t="s">
        <v>90</v>
      </c>
      <c r="D89" s="1">
        <v>44833</v>
      </c>
      <c r="E89" s="2">
        <v>0.11380787037037036</v>
      </c>
      <c r="F89" t="s">
        <v>1</v>
      </c>
      <c r="G89">
        <v>1.4059999999999999</v>
      </c>
      <c r="H89">
        <v>0.32390000000000002</v>
      </c>
      <c r="I89">
        <v>0.69650000000000001</v>
      </c>
      <c r="J89" t="s">
        <v>2</v>
      </c>
      <c r="K89" t="s">
        <v>3</v>
      </c>
      <c r="L89">
        <v>1.923</v>
      </c>
      <c r="M89">
        <v>88.330500000000001</v>
      </c>
      <c r="N89">
        <v>188.6164</v>
      </c>
      <c r="O89" t="s">
        <v>2</v>
      </c>
      <c r="P89" t="s">
        <v>192</v>
      </c>
      <c r="Q89" s="1">
        <v>44833</v>
      </c>
      <c r="R89" s="2">
        <v>0.11380787037037036</v>
      </c>
      <c r="S89" t="s">
        <v>104</v>
      </c>
      <c r="T89">
        <v>1.1659999999999999</v>
      </c>
      <c r="U89">
        <v>3099.9958999999999</v>
      </c>
      <c r="V89">
        <v>0</v>
      </c>
      <c r="X89" t="s">
        <v>3</v>
      </c>
      <c r="Y89">
        <v>0</v>
      </c>
      <c r="Z89">
        <v>0</v>
      </c>
      <c r="AA89">
        <v>0</v>
      </c>
      <c r="AC89" t="s">
        <v>105</v>
      </c>
      <c r="AD89">
        <v>2.2200000000000002</v>
      </c>
      <c r="AE89">
        <v>57.478000000000002</v>
      </c>
      <c r="AF89">
        <v>0.22509999999999999</v>
      </c>
      <c r="AG89" t="s">
        <v>2</v>
      </c>
      <c r="AH89">
        <v>6</v>
      </c>
      <c r="AI89">
        <v>2.6560000000000001</v>
      </c>
      <c r="AJ89">
        <v>30.5474</v>
      </c>
      <c r="AK89">
        <v>11.625</v>
      </c>
    </row>
    <row r="90" spans="1:37" x14ac:dyDescent="0.2">
      <c r="A90">
        <v>89</v>
      </c>
      <c r="B90" t="s">
        <v>227</v>
      </c>
      <c r="C90" t="s">
        <v>91</v>
      </c>
      <c r="D90" s="1">
        <v>44833</v>
      </c>
      <c r="E90" s="2">
        <v>0.11755787037037037</v>
      </c>
      <c r="F90" t="s">
        <v>1</v>
      </c>
      <c r="G90">
        <v>0</v>
      </c>
      <c r="H90">
        <v>0</v>
      </c>
      <c r="I90">
        <v>0</v>
      </c>
      <c r="J90" t="s">
        <v>2</v>
      </c>
      <c r="K90" t="s">
        <v>3</v>
      </c>
      <c r="L90">
        <v>1.92</v>
      </c>
      <c r="M90">
        <v>11.251200000000001</v>
      </c>
      <c r="N90">
        <v>0</v>
      </c>
      <c r="O90" t="s">
        <v>2</v>
      </c>
      <c r="P90" t="s">
        <v>193</v>
      </c>
      <c r="Q90" s="1">
        <v>44833</v>
      </c>
      <c r="R90" s="2">
        <v>0.11755787037037037</v>
      </c>
      <c r="S90" t="s">
        <v>104</v>
      </c>
      <c r="T90">
        <v>1.163</v>
      </c>
      <c r="U90">
        <v>920.36720000000003</v>
      </c>
      <c r="V90">
        <v>0</v>
      </c>
      <c r="X90" t="s">
        <v>3</v>
      </c>
      <c r="Y90">
        <v>1.6930000000000001</v>
      </c>
      <c r="Z90">
        <v>2.1699000000000002</v>
      </c>
      <c r="AA90">
        <v>0</v>
      </c>
      <c r="AC90" t="s">
        <v>105</v>
      </c>
      <c r="AD90">
        <v>2.2229999999999999</v>
      </c>
      <c r="AE90">
        <v>4.79</v>
      </c>
      <c r="AF90">
        <v>3.6799999999999999E-2</v>
      </c>
      <c r="AG90" t="s">
        <v>2</v>
      </c>
      <c r="AH90">
        <v>6</v>
      </c>
      <c r="AI90">
        <v>0</v>
      </c>
      <c r="AJ90">
        <v>0</v>
      </c>
      <c r="AK90">
        <v>0</v>
      </c>
    </row>
    <row r="91" spans="1:37" x14ac:dyDescent="0.2">
      <c r="A91">
        <v>90</v>
      </c>
      <c r="B91" t="s">
        <v>220</v>
      </c>
      <c r="C91" t="s">
        <v>92</v>
      </c>
      <c r="D91" s="1">
        <v>44833</v>
      </c>
      <c r="E91" s="2">
        <v>0.12131944444444444</v>
      </c>
      <c r="F91" t="s">
        <v>1</v>
      </c>
      <c r="G91">
        <v>1.3959999999999999</v>
      </c>
      <c r="H91">
        <v>0.29199999999999998</v>
      </c>
      <c r="I91">
        <v>0.53890000000000005</v>
      </c>
      <c r="J91" t="s">
        <v>2</v>
      </c>
      <c r="K91" t="s">
        <v>3</v>
      </c>
      <c r="L91">
        <v>1.9159999999999999</v>
      </c>
      <c r="M91">
        <v>83.956400000000002</v>
      </c>
      <c r="N91">
        <v>173.30959999999999</v>
      </c>
      <c r="O91" t="s">
        <v>2</v>
      </c>
      <c r="P91" t="s">
        <v>194</v>
      </c>
      <c r="Q91" s="1">
        <v>44833</v>
      </c>
      <c r="R91" s="2">
        <v>0.12131944444444444</v>
      </c>
      <c r="S91" t="s">
        <v>104</v>
      </c>
      <c r="T91">
        <v>1.1599999999999999</v>
      </c>
      <c r="U91">
        <v>3046.4322000000002</v>
      </c>
      <c r="V91">
        <v>0</v>
      </c>
      <c r="X91" t="s">
        <v>3</v>
      </c>
      <c r="Y91">
        <v>0</v>
      </c>
      <c r="Z91">
        <v>0</v>
      </c>
      <c r="AA91">
        <v>0</v>
      </c>
      <c r="AC91" t="s">
        <v>105</v>
      </c>
      <c r="AD91">
        <v>2.2130000000000001</v>
      </c>
      <c r="AE91">
        <v>54.569099999999999</v>
      </c>
      <c r="AF91">
        <v>0.2147</v>
      </c>
      <c r="AG91" t="s">
        <v>2</v>
      </c>
      <c r="AH91">
        <v>6</v>
      </c>
      <c r="AI91">
        <v>2.6429999999999998</v>
      </c>
      <c r="AJ91">
        <v>31.344000000000001</v>
      </c>
      <c r="AK91">
        <v>11.928100000000001</v>
      </c>
    </row>
    <row r="92" spans="1:37" x14ac:dyDescent="0.2">
      <c r="A92">
        <v>91</v>
      </c>
      <c r="B92" t="s">
        <v>231</v>
      </c>
      <c r="C92" t="s">
        <v>93</v>
      </c>
      <c r="D92" s="1">
        <v>44833</v>
      </c>
      <c r="E92" s="2">
        <v>0.12506944444444443</v>
      </c>
      <c r="F92" t="s">
        <v>1</v>
      </c>
      <c r="G92">
        <v>0</v>
      </c>
      <c r="H92">
        <v>0</v>
      </c>
      <c r="I92">
        <v>0</v>
      </c>
      <c r="J92" t="s">
        <v>2</v>
      </c>
      <c r="K92" t="s">
        <v>3</v>
      </c>
      <c r="L92">
        <v>1.93</v>
      </c>
      <c r="M92">
        <v>16.1158</v>
      </c>
      <c r="N92">
        <v>0</v>
      </c>
      <c r="O92" t="s">
        <v>2</v>
      </c>
      <c r="P92" t="s">
        <v>195</v>
      </c>
      <c r="Q92" s="1">
        <v>44833</v>
      </c>
      <c r="R92" s="2">
        <v>0.12506944444444443</v>
      </c>
      <c r="S92" t="s">
        <v>104</v>
      </c>
      <c r="T92">
        <v>1.17</v>
      </c>
      <c r="U92">
        <v>1735.4905000000001</v>
      </c>
      <c r="V92">
        <v>0</v>
      </c>
      <c r="X92" t="s">
        <v>3</v>
      </c>
      <c r="Y92">
        <v>1.7</v>
      </c>
      <c r="Z92">
        <v>2.0750000000000002</v>
      </c>
      <c r="AA92">
        <v>0</v>
      </c>
      <c r="AC92" t="s">
        <v>105</v>
      </c>
      <c r="AD92">
        <v>2.23</v>
      </c>
      <c r="AE92">
        <v>10.374599999999999</v>
      </c>
      <c r="AF92">
        <v>5.67E-2</v>
      </c>
      <c r="AG92" t="s">
        <v>2</v>
      </c>
      <c r="AH92">
        <v>6</v>
      </c>
      <c r="AI92">
        <v>0</v>
      </c>
      <c r="AJ92">
        <v>0</v>
      </c>
      <c r="AK92">
        <v>0</v>
      </c>
    </row>
    <row r="93" spans="1:37" x14ac:dyDescent="0.2">
      <c r="A93">
        <v>92</v>
      </c>
      <c r="B93" t="s">
        <v>220</v>
      </c>
      <c r="C93" t="s">
        <v>94</v>
      </c>
      <c r="D93" s="1">
        <v>44833</v>
      </c>
      <c r="E93" s="2">
        <v>0.12883101851851853</v>
      </c>
      <c r="F93" t="s">
        <v>1</v>
      </c>
      <c r="G93">
        <v>1.413</v>
      </c>
      <c r="H93">
        <v>0.36120000000000002</v>
      </c>
      <c r="I93">
        <v>0.88090000000000002</v>
      </c>
      <c r="J93" t="s">
        <v>2</v>
      </c>
      <c r="K93" t="s">
        <v>3</v>
      </c>
      <c r="L93">
        <v>1.93</v>
      </c>
      <c r="M93">
        <v>96.009799999999998</v>
      </c>
      <c r="N93">
        <v>215.4896</v>
      </c>
      <c r="O93" t="s">
        <v>2</v>
      </c>
      <c r="P93" t="s">
        <v>196</v>
      </c>
      <c r="Q93" s="1">
        <v>44833</v>
      </c>
      <c r="R93" s="2">
        <v>0.12883101851851853</v>
      </c>
      <c r="S93" t="s">
        <v>104</v>
      </c>
      <c r="T93">
        <v>1.1659999999999999</v>
      </c>
      <c r="U93">
        <v>3297.3580999999999</v>
      </c>
      <c r="V93">
        <v>0</v>
      </c>
      <c r="X93" t="s">
        <v>3</v>
      </c>
      <c r="Y93">
        <v>1.9059999999999999</v>
      </c>
      <c r="Z93">
        <v>3.7675999999999998</v>
      </c>
      <c r="AA93">
        <v>0</v>
      </c>
      <c r="AC93" t="s">
        <v>105</v>
      </c>
      <c r="AD93">
        <v>2.226</v>
      </c>
      <c r="AE93">
        <v>62.139499999999998</v>
      </c>
      <c r="AF93">
        <v>0.24179999999999999</v>
      </c>
      <c r="AG93" t="s">
        <v>2</v>
      </c>
      <c r="AH93">
        <v>6</v>
      </c>
      <c r="AI93">
        <v>2.673</v>
      </c>
      <c r="AJ93">
        <v>37.7012</v>
      </c>
      <c r="AK93">
        <v>14.3474</v>
      </c>
    </row>
    <row r="94" spans="1:37" x14ac:dyDescent="0.2">
      <c r="A94">
        <v>93</v>
      </c>
      <c r="B94" t="s">
        <v>228</v>
      </c>
      <c r="C94" t="s">
        <v>95</v>
      </c>
      <c r="D94" s="1">
        <v>44833</v>
      </c>
      <c r="E94" s="2">
        <v>0.13258101851851853</v>
      </c>
      <c r="F94" t="s">
        <v>1</v>
      </c>
      <c r="G94">
        <v>0</v>
      </c>
      <c r="H94">
        <v>0</v>
      </c>
      <c r="I94">
        <v>0</v>
      </c>
      <c r="J94" t="s">
        <v>2</v>
      </c>
      <c r="K94" t="s">
        <v>3</v>
      </c>
      <c r="L94">
        <v>1.9159999999999999</v>
      </c>
      <c r="M94">
        <v>12.0968</v>
      </c>
      <c r="N94">
        <v>0</v>
      </c>
      <c r="O94" t="s">
        <v>2</v>
      </c>
      <c r="P94" t="s">
        <v>197</v>
      </c>
      <c r="Q94" s="1">
        <v>44833</v>
      </c>
      <c r="R94" s="2">
        <v>0.13258101851851853</v>
      </c>
      <c r="S94" t="s">
        <v>104</v>
      </c>
      <c r="T94">
        <v>1.1559999999999999</v>
      </c>
      <c r="U94">
        <v>2103.5106000000001</v>
      </c>
      <c r="V94">
        <v>0</v>
      </c>
      <c r="X94" t="s">
        <v>3</v>
      </c>
      <c r="Y94">
        <v>0</v>
      </c>
      <c r="Z94">
        <v>0</v>
      </c>
      <c r="AA94">
        <v>0</v>
      </c>
      <c r="AC94" t="s">
        <v>105</v>
      </c>
      <c r="AD94">
        <v>2.2130000000000001</v>
      </c>
      <c r="AE94">
        <v>6.3878000000000004</v>
      </c>
      <c r="AF94">
        <v>4.2500000000000003E-2</v>
      </c>
      <c r="AG94" t="s">
        <v>2</v>
      </c>
      <c r="AH94">
        <v>6</v>
      </c>
      <c r="AI94">
        <v>0</v>
      </c>
      <c r="AJ94">
        <v>0</v>
      </c>
      <c r="AK94">
        <v>0</v>
      </c>
    </row>
    <row r="95" spans="1:37" x14ac:dyDescent="0.2">
      <c r="A95">
        <v>94</v>
      </c>
      <c r="B95" t="s">
        <v>220</v>
      </c>
      <c r="C95" t="s">
        <v>96</v>
      </c>
      <c r="D95" s="1">
        <v>44833</v>
      </c>
      <c r="E95" s="2">
        <v>0.1363310185185185</v>
      </c>
      <c r="F95" t="s">
        <v>1</v>
      </c>
      <c r="G95">
        <v>1.413</v>
      </c>
      <c r="H95">
        <v>0.32969999999999999</v>
      </c>
      <c r="I95">
        <v>0.72519999999999996</v>
      </c>
      <c r="J95" t="s">
        <v>2</v>
      </c>
      <c r="K95" t="s">
        <v>3</v>
      </c>
      <c r="L95">
        <v>1.93</v>
      </c>
      <c r="M95">
        <v>87.2988</v>
      </c>
      <c r="N95">
        <v>185.0061</v>
      </c>
      <c r="O95" t="s">
        <v>2</v>
      </c>
      <c r="P95" t="s">
        <v>198</v>
      </c>
      <c r="Q95" s="1">
        <v>44833</v>
      </c>
      <c r="R95" s="2">
        <v>0.1363310185185185</v>
      </c>
      <c r="S95" t="s">
        <v>104</v>
      </c>
      <c r="T95">
        <v>1.17</v>
      </c>
      <c r="U95">
        <v>3171.4245999999998</v>
      </c>
      <c r="V95">
        <v>0</v>
      </c>
      <c r="X95" t="s">
        <v>3</v>
      </c>
      <c r="Y95">
        <v>0</v>
      </c>
      <c r="Z95">
        <v>0</v>
      </c>
      <c r="AA95">
        <v>0</v>
      </c>
      <c r="AC95" t="s">
        <v>105</v>
      </c>
      <c r="AD95">
        <v>2.23</v>
      </c>
      <c r="AE95">
        <v>55.408999999999999</v>
      </c>
      <c r="AF95">
        <v>0.2177</v>
      </c>
      <c r="AG95" t="s">
        <v>2</v>
      </c>
      <c r="AH95">
        <v>6</v>
      </c>
      <c r="AI95">
        <v>2.68</v>
      </c>
      <c r="AJ95">
        <v>32.0608</v>
      </c>
      <c r="AK95">
        <v>12.200900000000001</v>
      </c>
    </row>
    <row r="96" spans="1:37" x14ac:dyDescent="0.2">
      <c r="A96">
        <v>95</v>
      </c>
      <c r="B96" t="s">
        <v>232</v>
      </c>
      <c r="C96" t="s">
        <v>97</v>
      </c>
      <c r="D96" s="1">
        <v>44833</v>
      </c>
      <c r="E96" s="2">
        <v>0.14009259259259257</v>
      </c>
      <c r="F96" t="s">
        <v>1</v>
      </c>
      <c r="G96">
        <v>0</v>
      </c>
      <c r="H96">
        <v>0</v>
      </c>
      <c r="I96">
        <v>0</v>
      </c>
      <c r="J96" t="s">
        <v>2</v>
      </c>
      <c r="K96" t="s">
        <v>3</v>
      </c>
      <c r="L96">
        <v>1.9159999999999999</v>
      </c>
      <c r="M96">
        <v>10.9574</v>
      </c>
      <c r="N96">
        <v>0</v>
      </c>
      <c r="O96" t="s">
        <v>2</v>
      </c>
      <c r="P96" t="s">
        <v>199</v>
      </c>
      <c r="Q96" s="1">
        <v>44833</v>
      </c>
      <c r="R96" s="2">
        <v>0.14009259259259257</v>
      </c>
      <c r="S96" t="s">
        <v>104</v>
      </c>
      <c r="T96">
        <v>1.163</v>
      </c>
      <c r="U96">
        <v>2880.3919000000001</v>
      </c>
      <c r="V96">
        <v>0</v>
      </c>
      <c r="X96" t="s">
        <v>3</v>
      </c>
      <c r="Y96">
        <v>0</v>
      </c>
      <c r="Z96">
        <v>0</v>
      </c>
      <c r="AA96">
        <v>0</v>
      </c>
      <c r="AC96" t="s">
        <v>105</v>
      </c>
      <c r="AD96">
        <v>2.2160000000000002</v>
      </c>
      <c r="AE96">
        <v>7.2766000000000002</v>
      </c>
      <c r="AF96">
        <v>4.5699999999999998E-2</v>
      </c>
      <c r="AG96" t="s">
        <v>2</v>
      </c>
      <c r="AH96">
        <v>6</v>
      </c>
      <c r="AI96">
        <v>0</v>
      </c>
      <c r="AJ96">
        <v>0</v>
      </c>
      <c r="AK96">
        <v>0</v>
      </c>
    </row>
    <row r="97" spans="1:37" x14ac:dyDescent="0.2">
      <c r="A97">
        <v>96</v>
      </c>
      <c r="B97" t="s">
        <v>220</v>
      </c>
      <c r="C97" t="s">
        <v>98</v>
      </c>
      <c r="D97" s="1">
        <v>44833</v>
      </c>
      <c r="E97" s="2">
        <v>0.14384259259259261</v>
      </c>
      <c r="F97" t="s">
        <v>1</v>
      </c>
      <c r="G97">
        <v>1.41</v>
      </c>
      <c r="H97">
        <v>0.31259999999999999</v>
      </c>
      <c r="I97">
        <v>0.64070000000000005</v>
      </c>
      <c r="J97" t="s">
        <v>2</v>
      </c>
      <c r="K97" t="s">
        <v>3</v>
      </c>
      <c r="L97">
        <v>1.93</v>
      </c>
      <c r="M97">
        <v>87.896000000000001</v>
      </c>
      <c r="N97">
        <v>187.0959</v>
      </c>
      <c r="O97" t="s">
        <v>2</v>
      </c>
      <c r="P97" t="s">
        <v>200</v>
      </c>
      <c r="Q97" s="1">
        <v>44833</v>
      </c>
      <c r="R97" s="2">
        <v>0.14384259259259261</v>
      </c>
      <c r="S97" t="s">
        <v>104</v>
      </c>
      <c r="T97">
        <v>1.17</v>
      </c>
      <c r="U97">
        <v>3183.7797999999998</v>
      </c>
      <c r="V97">
        <v>0</v>
      </c>
      <c r="X97" t="s">
        <v>3</v>
      </c>
      <c r="Y97">
        <v>1.903</v>
      </c>
      <c r="Z97">
        <v>2.2833999999999999</v>
      </c>
      <c r="AA97">
        <v>0</v>
      </c>
      <c r="AC97" t="s">
        <v>105</v>
      </c>
      <c r="AD97">
        <v>2.23</v>
      </c>
      <c r="AE97">
        <v>53.1646</v>
      </c>
      <c r="AF97">
        <v>0.2097</v>
      </c>
      <c r="AG97" t="s">
        <v>2</v>
      </c>
      <c r="AH97">
        <v>6</v>
      </c>
      <c r="AI97">
        <v>2.6659999999999999</v>
      </c>
      <c r="AJ97">
        <v>34.540999999999997</v>
      </c>
      <c r="AK97">
        <v>13.1448</v>
      </c>
    </row>
    <row r="98" spans="1:37" x14ac:dyDescent="0.2">
      <c r="A98">
        <v>97</v>
      </c>
      <c r="B98" t="s">
        <v>229</v>
      </c>
      <c r="C98" t="s">
        <v>99</v>
      </c>
      <c r="D98" s="1">
        <v>44833</v>
      </c>
      <c r="E98" s="2">
        <v>0.14760416666666668</v>
      </c>
      <c r="F98" t="s">
        <v>1</v>
      </c>
      <c r="G98">
        <v>0</v>
      </c>
      <c r="H98">
        <v>0</v>
      </c>
      <c r="I98">
        <v>0</v>
      </c>
      <c r="J98" t="s">
        <v>2</v>
      </c>
      <c r="K98" t="s">
        <v>3</v>
      </c>
      <c r="L98">
        <v>1.93</v>
      </c>
      <c r="M98">
        <v>10.317399999999999</v>
      </c>
      <c r="N98">
        <v>0</v>
      </c>
      <c r="O98" t="s">
        <v>2</v>
      </c>
      <c r="P98" t="s">
        <v>201</v>
      </c>
      <c r="Q98" s="1">
        <v>44833</v>
      </c>
      <c r="R98" s="2">
        <v>0.14760416666666668</v>
      </c>
      <c r="S98" t="s">
        <v>104</v>
      </c>
      <c r="T98">
        <v>1.17</v>
      </c>
      <c r="U98">
        <v>3522.2271999999998</v>
      </c>
      <c r="V98">
        <v>0</v>
      </c>
      <c r="X98" t="s">
        <v>3</v>
      </c>
      <c r="Y98">
        <v>0</v>
      </c>
      <c r="Z98">
        <v>0</v>
      </c>
      <c r="AA98">
        <v>0</v>
      </c>
      <c r="AC98" t="s">
        <v>105</v>
      </c>
      <c r="AD98">
        <v>2.226</v>
      </c>
      <c r="AE98">
        <v>4.7187999999999999</v>
      </c>
      <c r="AF98">
        <v>3.6499999999999998E-2</v>
      </c>
      <c r="AG98" t="s">
        <v>2</v>
      </c>
      <c r="AH98">
        <v>6</v>
      </c>
      <c r="AI98">
        <v>0</v>
      </c>
      <c r="AJ98">
        <v>0</v>
      </c>
      <c r="AK98">
        <v>0</v>
      </c>
    </row>
    <row r="99" spans="1:37" x14ac:dyDescent="0.2">
      <c r="A99">
        <v>98</v>
      </c>
      <c r="B99" t="s">
        <v>220</v>
      </c>
      <c r="C99" t="s">
        <v>100</v>
      </c>
      <c r="D99" s="1">
        <v>44833</v>
      </c>
      <c r="E99" s="2">
        <v>0.15135416666666668</v>
      </c>
      <c r="F99" t="s">
        <v>1</v>
      </c>
      <c r="G99">
        <v>1.4</v>
      </c>
      <c r="H99">
        <v>0.29759999999999998</v>
      </c>
      <c r="I99">
        <v>0.5665</v>
      </c>
      <c r="J99" t="s">
        <v>2</v>
      </c>
      <c r="K99" t="s">
        <v>3</v>
      </c>
      <c r="L99">
        <v>1.91</v>
      </c>
      <c r="M99">
        <v>71.777900000000002</v>
      </c>
      <c r="N99">
        <v>130.6918</v>
      </c>
      <c r="O99" t="s">
        <v>2</v>
      </c>
      <c r="P99" t="s">
        <v>202</v>
      </c>
      <c r="Q99" s="1">
        <v>44833</v>
      </c>
      <c r="R99" s="2">
        <v>0.15135416666666668</v>
      </c>
      <c r="S99" t="s">
        <v>104</v>
      </c>
      <c r="T99">
        <v>1.1599999999999999</v>
      </c>
      <c r="U99">
        <v>2731.3242</v>
      </c>
      <c r="V99">
        <v>0</v>
      </c>
      <c r="X99" t="s">
        <v>3</v>
      </c>
      <c r="Y99">
        <v>0</v>
      </c>
      <c r="Z99">
        <v>0</v>
      </c>
      <c r="AA99">
        <v>0</v>
      </c>
      <c r="AC99" t="s">
        <v>105</v>
      </c>
      <c r="AD99">
        <v>2.21</v>
      </c>
      <c r="AE99">
        <v>44.755000000000003</v>
      </c>
      <c r="AF99">
        <v>0.17960000000000001</v>
      </c>
      <c r="AG99" t="s">
        <v>2</v>
      </c>
      <c r="AH99">
        <v>6</v>
      </c>
      <c r="AI99">
        <v>2.653</v>
      </c>
      <c r="AJ99">
        <v>26.0459</v>
      </c>
      <c r="AK99">
        <v>9.9118999999999993</v>
      </c>
    </row>
    <row r="100" spans="1:37" x14ac:dyDescent="0.2">
      <c r="A100">
        <v>99</v>
      </c>
      <c r="B100" t="s">
        <v>220</v>
      </c>
      <c r="C100" t="s">
        <v>101</v>
      </c>
      <c r="D100" s="1">
        <v>44833</v>
      </c>
      <c r="E100" s="2">
        <v>0.15510416666666668</v>
      </c>
      <c r="F100" t="s">
        <v>1</v>
      </c>
      <c r="G100">
        <v>1.413</v>
      </c>
      <c r="H100">
        <v>0.29720000000000002</v>
      </c>
      <c r="I100">
        <v>0.56459999999999999</v>
      </c>
      <c r="J100" t="s">
        <v>2</v>
      </c>
      <c r="K100" t="s">
        <v>3</v>
      </c>
      <c r="L100">
        <v>1.93</v>
      </c>
      <c r="M100">
        <v>81.694599999999994</v>
      </c>
      <c r="N100">
        <v>165.3946</v>
      </c>
      <c r="O100" t="s">
        <v>2</v>
      </c>
      <c r="P100" t="s">
        <v>203</v>
      </c>
      <c r="Q100" s="1">
        <v>44833</v>
      </c>
      <c r="R100" s="2">
        <v>0.15510416666666668</v>
      </c>
      <c r="S100" t="s">
        <v>104</v>
      </c>
      <c r="T100">
        <v>1.17</v>
      </c>
      <c r="U100">
        <v>3123.6075000000001</v>
      </c>
      <c r="V100">
        <v>0</v>
      </c>
      <c r="X100" t="s">
        <v>3</v>
      </c>
      <c r="Y100">
        <v>1.9</v>
      </c>
      <c r="Z100">
        <v>2.8083999999999998</v>
      </c>
      <c r="AA100">
        <v>0</v>
      </c>
      <c r="AC100" t="s">
        <v>105</v>
      </c>
      <c r="AD100">
        <v>2.226</v>
      </c>
      <c r="AE100">
        <v>53.889600000000002</v>
      </c>
      <c r="AF100">
        <v>0.21229999999999999</v>
      </c>
      <c r="AG100" t="s">
        <v>2</v>
      </c>
      <c r="AH100">
        <v>6</v>
      </c>
      <c r="AI100">
        <v>2.6629999999999998</v>
      </c>
      <c r="AJ100">
        <v>30.942</v>
      </c>
      <c r="AK100">
        <v>11.7752</v>
      </c>
    </row>
    <row r="101" spans="1:37" x14ac:dyDescent="0.2">
      <c r="A101">
        <v>100</v>
      </c>
      <c r="B101" t="s">
        <v>220</v>
      </c>
      <c r="C101" t="s">
        <v>102</v>
      </c>
      <c r="D101" s="1">
        <v>44833</v>
      </c>
      <c r="E101" s="2">
        <v>0.15886574074074075</v>
      </c>
      <c r="F101" t="s">
        <v>1</v>
      </c>
      <c r="G101">
        <v>1.403</v>
      </c>
      <c r="H101">
        <v>0.34939999999999999</v>
      </c>
      <c r="I101">
        <v>0.8226</v>
      </c>
      <c r="J101" t="s">
        <v>2</v>
      </c>
      <c r="K101" t="s">
        <v>3</v>
      </c>
      <c r="L101">
        <v>1.923</v>
      </c>
      <c r="M101">
        <v>100.95910000000001</v>
      </c>
      <c r="N101">
        <v>232.80930000000001</v>
      </c>
      <c r="O101" t="s">
        <v>2</v>
      </c>
      <c r="P101" t="s">
        <v>204</v>
      </c>
      <c r="Q101" s="1">
        <v>44833</v>
      </c>
      <c r="R101" s="2">
        <v>0.15886574074074075</v>
      </c>
      <c r="S101" t="s">
        <v>104</v>
      </c>
      <c r="T101">
        <v>1.1659999999999999</v>
      </c>
      <c r="U101">
        <v>3245.4587999999999</v>
      </c>
      <c r="V101">
        <v>0</v>
      </c>
      <c r="X101" t="s">
        <v>3</v>
      </c>
      <c r="Y101">
        <v>1.91</v>
      </c>
      <c r="Z101">
        <v>2.8881000000000001</v>
      </c>
      <c r="AA101">
        <v>0</v>
      </c>
      <c r="AC101" t="s">
        <v>105</v>
      </c>
      <c r="AD101">
        <v>2.2229999999999999</v>
      </c>
      <c r="AE101">
        <v>65.542400000000001</v>
      </c>
      <c r="AF101">
        <v>0.254</v>
      </c>
      <c r="AG101" t="s">
        <v>2</v>
      </c>
      <c r="AH101">
        <v>6</v>
      </c>
      <c r="AI101">
        <v>2.673</v>
      </c>
      <c r="AJ101">
        <v>43.208300000000001</v>
      </c>
      <c r="AK101">
        <v>16.443200000000001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6966-099E-44AE-A0F5-885B9B511ACB}">
  <dimension ref="A1:K21"/>
  <sheetViews>
    <sheetView tabSelected="1" zoomScaleNormal="100" workbookViewId="0">
      <selection activeCell="A4" sqref="A4:K9"/>
    </sheetView>
  </sheetViews>
  <sheetFormatPr baseColWidth="10" defaultColWidth="8.83203125" defaultRowHeight="15" x14ac:dyDescent="0.2"/>
  <cols>
    <col min="1" max="1" width="17.6640625" bestFit="1" customWidth="1"/>
    <col min="2" max="2" width="11.1640625" bestFit="1" customWidth="1"/>
    <col min="3" max="3" width="11" bestFit="1" customWidth="1"/>
    <col min="4" max="4" width="11.5" bestFit="1" customWidth="1"/>
    <col min="5" max="5" width="10" bestFit="1" customWidth="1"/>
    <col min="6" max="6" width="8.6640625" bestFit="1" customWidth="1"/>
    <col min="7" max="7" width="6.5" bestFit="1" customWidth="1"/>
    <col min="8" max="8" width="14.5" bestFit="1" customWidth="1"/>
    <col min="9" max="9" width="14.33203125" bestFit="1" customWidth="1"/>
    <col min="10" max="10" width="14.6640625" bestFit="1" customWidth="1"/>
    <col min="11" max="11" width="13.33203125" bestFit="1" customWidth="1"/>
  </cols>
  <sheetData>
    <row r="1" spans="1:11" x14ac:dyDescent="0.2">
      <c r="B1" t="s">
        <v>239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3</v>
      </c>
      <c r="I1" t="s">
        <v>1</v>
      </c>
      <c r="J1" t="s">
        <v>105</v>
      </c>
      <c r="K1" t="s">
        <v>218</v>
      </c>
    </row>
    <row r="2" spans="1:11" x14ac:dyDescent="0.2">
      <c r="A2" t="s">
        <v>220</v>
      </c>
      <c r="E2" s="4"/>
      <c r="H2">
        <f t="shared" ref="H2:H3" si="0">(B2*$F2)/18</f>
        <v>0</v>
      </c>
      <c r="I2">
        <f t="shared" ref="I2:I3" si="1">(C2*$F2)/18</f>
        <v>0</v>
      </c>
      <c r="J2">
        <f t="shared" ref="J2:J3" si="2">(D2*$F2)/18</f>
        <v>0</v>
      </c>
      <c r="K2">
        <f t="shared" ref="K2:K3" si="3">(E2*$F2)/18</f>
        <v>0</v>
      </c>
    </row>
    <row r="3" spans="1:11" x14ac:dyDescent="0.2">
      <c r="A3" t="s">
        <v>219</v>
      </c>
      <c r="B3">
        <v>0</v>
      </c>
      <c r="C3">
        <v>0</v>
      </c>
      <c r="D3">
        <v>0</v>
      </c>
      <c r="E3">
        <v>0</v>
      </c>
      <c r="F3">
        <v>0</v>
      </c>
      <c r="G3">
        <v>18</v>
      </c>
      <c r="H3">
        <f t="shared" si="0"/>
        <v>0</v>
      </c>
      <c r="I3">
        <f t="shared" si="1"/>
        <v>0</v>
      </c>
      <c r="J3">
        <f t="shared" si="2"/>
        <v>0</v>
      </c>
      <c r="K3">
        <f t="shared" si="3"/>
        <v>0</v>
      </c>
    </row>
    <row r="4" spans="1:11" x14ac:dyDescent="0.2">
      <c r="A4" t="s">
        <v>222</v>
      </c>
      <c r="B4">
        <v>152.4</v>
      </c>
      <c r="C4">
        <v>0.97629999999999995</v>
      </c>
      <c r="D4">
        <v>0.22800000000000001</v>
      </c>
      <c r="E4">
        <v>180100</v>
      </c>
      <c r="F4">
        <v>18</v>
      </c>
      <c r="G4">
        <v>0</v>
      </c>
      <c r="H4">
        <f>(B4*$F4)/18</f>
        <v>152.4</v>
      </c>
      <c r="I4">
        <f t="shared" ref="I4:K19" si="4">(C4*$F4)/18</f>
        <v>0.97629999999999995</v>
      </c>
      <c r="J4">
        <f t="shared" si="4"/>
        <v>0.22800000000000001</v>
      </c>
      <c r="K4">
        <f t="shared" si="4"/>
        <v>180100</v>
      </c>
    </row>
    <row r="5" spans="1:11" x14ac:dyDescent="0.2">
      <c r="A5" t="s">
        <v>221</v>
      </c>
      <c r="B5">
        <v>426.2</v>
      </c>
      <c r="C5">
        <v>3.008</v>
      </c>
      <c r="D5">
        <v>0.379</v>
      </c>
      <c r="E5">
        <v>240100</v>
      </c>
      <c r="F5">
        <v>18</v>
      </c>
      <c r="G5">
        <v>0</v>
      </c>
      <c r="H5">
        <f t="shared" ref="H5:H21" si="5">(B5*$F5)/18</f>
        <v>426.2</v>
      </c>
      <c r="I5">
        <f t="shared" si="4"/>
        <v>3.008</v>
      </c>
      <c r="J5">
        <f t="shared" si="4"/>
        <v>0.379</v>
      </c>
      <c r="K5">
        <f t="shared" si="4"/>
        <v>240100</v>
      </c>
    </row>
    <row r="6" spans="1:11" x14ac:dyDescent="0.2">
      <c r="A6" t="s">
        <v>223</v>
      </c>
      <c r="B6">
        <v>2013</v>
      </c>
      <c r="C6">
        <v>20.64</v>
      </c>
      <c r="D6">
        <v>0.495</v>
      </c>
      <c r="E6">
        <v>200500</v>
      </c>
      <c r="F6">
        <v>18</v>
      </c>
      <c r="G6">
        <v>0</v>
      </c>
      <c r="H6">
        <f t="shared" si="5"/>
        <v>2013</v>
      </c>
      <c r="I6">
        <f t="shared" si="4"/>
        <v>20.64</v>
      </c>
      <c r="J6">
        <f t="shared" si="4"/>
        <v>0.495</v>
      </c>
      <c r="K6">
        <f t="shared" si="4"/>
        <v>200500</v>
      </c>
    </row>
    <row r="7" spans="1:11" x14ac:dyDescent="0.2">
      <c r="A7" t="s">
        <v>224</v>
      </c>
      <c r="B7">
        <v>4967</v>
      </c>
      <c r="C7">
        <v>201.4</v>
      </c>
      <c r="D7">
        <v>2.4900000000000002</v>
      </c>
      <c r="E7">
        <v>200700</v>
      </c>
      <c r="F7">
        <v>18</v>
      </c>
      <c r="G7">
        <v>0</v>
      </c>
      <c r="H7">
        <f t="shared" si="5"/>
        <v>4967</v>
      </c>
      <c r="I7">
        <f t="shared" si="4"/>
        <v>201.4</v>
      </c>
      <c r="J7">
        <f t="shared" si="4"/>
        <v>2.4900000000000002</v>
      </c>
      <c r="K7">
        <f t="shared" si="4"/>
        <v>200700</v>
      </c>
    </row>
    <row r="8" spans="1:11" x14ac:dyDescent="0.2">
      <c r="A8" t="s">
        <v>225</v>
      </c>
      <c r="B8">
        <v>10080</v>
      </c>
      <c r="C8">
        <v>5029</v>
      </c>
      <c r="D8">
        <v>5</v>
      </c>
      <c r="E8">
        <v>202000</v>
      </c>
      <c r="F8">
        <v>18</v>
      </c>
      <c r="G8">
        <v>0</v>
      </c>
      <c r="H8">
        <f t="shared" si="5"/>
        <v>10080</v>
      </c>
      <c r="I8">
        <f t="shared" si="4"/>
        <v>5029</v>
      </c>
      <c r="J8">
        <f t="shared" si="4"/>
        <v>5</v>
      </c>
      <c r="K8">
        <f t="shared" si="4"/>
        <v>202000</v>
      </c>
    </row>
    <row r="9" spans="1:11" x14ac:dyDescent="0.2">
      <c r="A9" t="s">
        <v>226</v>
      </c>
      <c r="B9">
        <v>49990</v>
      </c>
      <c r="C9">
        <v>60340</v>
      </c>
      <c r="D9">
        <v>20</v>
      </c>
      <c r="F9">
        <v>18</v>
      </c>
      <c r="G9">
        <v>0</v>
      </c>
      <c r="H9">
        <f t="shared" si="5"/>
        <v>49990</v>
      </c>
      <c r="I9">
        <f t="shared" si="4"/>
        <v>60340</v>
      </c>
      <c r="J9">
        <f t="shared" si="4"/>
        <v>20</v>
      </c>
      <c r="K9">
        <f t="shared" si="4"/>
        <v>0</v>
      </c>
    </row>
    <row r="10" spans="1:11" x14ac:dyDescent="0.2">
      <c r="A10" t="s">
        <v>227</v>
      </c>
      <c r="B10">
        <v>415</v>
      </c>
      <c r="C10">
        <v>1.8</v>
      </c>
      <c r="D10">
        <v>0.32500000000000001</v>
      </c>
      <c r="E10" s="4">
        <v>209500</v>
      </c>
      <c r="F10">
        <v>0</v>
      </c>
      <c r="G10">
        <v>18</v>
      </c>
      <c r="H10">
        <f t="shared" si="5"/>
        <v>0</v>
      </c>
      <c r="I10">
        <f t="shared" si="4"/>
        <v>0</v>
      </c>
      <c r="J10">
        <f t="shared" si="4"/>
        <v>0</v>
      </c>
      <c r="K10">
        <f t="shared" si="4"/>
        <v>0</v>
      </c>
    </row>
    <row r="11" spans="1:11" x14ac:dyDescent="0.2">
      <c r="A11" t="s">
        <v>231</v>
      </c>
      <c r="B11">
        <v>415</v>
      </c>
      <c r="C11">
        <v>1.8</v>
      </c>
      <c r="D11">
        <v>0.32500000000000001</v>
      </c>
      <c r="E11" s="4">
        <v>209500</v>
      </c>
      <c r="F11">
        <v>3</v>
      </c>
      <c r="G11">
        <v>15</v>
      </c>
      <c r="H11">
        <f t="shared" si="5"/>
        <v>69.166666666666671</v>
      </c>
      <c r="I11">
        <f t="shared" si="4"/>
        <v>0.30000000000000004</v>
      </c>
      <c r="J11">
        <f t="shared" si="4"/>
        <v>5.4166666666666669E-2</v>
      </c>
      <c r="K11">
        <f t="shared" si="4"/>
        <v>34916.666666666664</v>
      </c>
    </row>
    <row r="12" spans="1:11" x14ac:dyDescent="0.2">
      <c r="A12" t="s">
        <v>228</v>
      </c>
      <c r="B12">
        <v>415</v>
      </c>
      <c r="C12">
        <v>1.8</v>
      </c>
      <c r="D12">
        <v>0.32500000000000001</v>
      </c>
      <c r="E12" s="4">
        <v>209500</v>
      </c>
      <c r="F12">
        <v>6</v>
      </c>
      <c r="G12">
        <v>12</v>
      </c>
      <c r="H12">
        <f t="shared" si="5"/>
        <v>138.33333333333334</v>
      </c>
      <c r="I12">
        <f t="shared" si="4"/>
        <v>0.60000000000000009</v>
      </c>
      <c r="J12">
        <f t="shared" si="4"/>
        <v>0.10833333333333334</v>
      </c>
      <c r="K12">
        <f t="shared" si="4"/>
        <v>69833.333333333328</v>
      </c>
    </row>
    <row r="13" spans="1:11" x14ac:dyDescent="0.2">
      <c r="A13" t="s">
        <v>232</v>
      </c>
      <c r="B13">
        <v>415</v>
      </c>
      <c r="C13">
        <v>1.8</v>
      </c>
      <c r="D13">
        <v>0.32500000000000001</v>
      </c>
      <c r="E13" s="4">
        <v>209500</v>
      </c>
      <c r="F13">
        <v>9</v>
      </c>
      <c r="G13">
        <v>9</v>
      </c>
      <c r="H13">
        <f t="shared" si="5"/>
        <v>207.5</v>
      </c>
      <c r="I13">
        <f t="shared" si="4"/>
        <v>0.89999999999999991</v>
      </c>
      <c r="J13">
        <f t="shared" si="4"/>
        <v>0.16250000000000001</v>
      </c>
      <c r="K13">
        <f t="shared" si="4"/>
        <v>104750</v>
      </c>
    </row>
    <row r="14" spans="1:11" x14ac:dyDescent="0.2">
      <c r="A14" t="s">
        <v>229</v>
      </c>
      <c r="B14">
        <v>415</v>
      </c>
      <c r="C14">
        <v>1.8</v>
      </c>
      <c r="D14">
        <v>0.32500000000000001</v>
      </c>
      <c r="E14" s="4">
        <v>209500</v>
      </c>
      <c r="F14">
        <v>12</v>
      </c>
      <c r="G14">
        <v>6</v>
      </c>
      <c r="H14">
        <f t="shared" si="5"/>
        <v>276.66666666666669</v>
      </c>
      <c r="I14">
        <f t="shared" si="4"/>
        <v>1.2000000000000002</v>
      </c>
      <c r="J14">
        <f t="shared" si="4"/>
        <v>0.21666666666666667</v>
      </c>
      <c r="K14">
        <f t="shared" si="4"/>
        <v>139666.66666666666</v>
      </c>
    </row>
    <row r="15" spans="1:11" x14ac:dyDescent="0.2">
      <c r="A15" t="s">
        <v>233</v>
      </c>
      <c r="B15">
        <v>415</v>
      </c>
      <c r="C15">
        <v>1.8</v>
      </c>
      <c r="D15">
        <v>0.32500000000000001</v>
      </c>
      <c r="E15" s="4">
        <v>209500</v>
      </c>
      <c r="F15">
        <v>15</v>
      </c>
      <c r="G15">
        <v>3</v>
      </c>
      <c r="H15">
        <f t="shared" si="5"/>
        <v>345.83333333333331</v>
      </c>
      <c r="I15">
        <f t="shared" si="4"/>
        <v>1.5</v>
      </c>
      <c r="J15">
        <f t="shared" si="4"/>
        <v>0.27083333333333331</v>
      </c>
      <c r="K15">
        <f t="shared" si="4"/>
        <v>174583.33333333334</v>
      </c>
    </row>
    <row r="16" spans="1:11" x14ac:dyDescent="0.2">
      <c r="A16" t="s">
        <v>230</v>
      </c>
      <c r="B16">
        <v>415</v>
      </c>
      <c r="C16">
        <v>1.8</v>
      </c>
      <c r="D16">
        <v>0.32500000000000001</v>
      </c>
      <c r="E16" s="4">
        <v>209500</v>
      </c>
      <c r="F16">
        <v>18</v>
      </c>
      <c r="G16">
        <v>0</v>
      </c>
      <c r="H16">
        <f t="shared" si="5"/>
        <v>415</v>
      </c>
      <c r="I16">
        <f t="shared" si="4"/>
        <v>1.7999999999999998</v>
      </c>
      <c r="J16">
        <f t="shared" si="4"/>
        <v>0.32500000000000001</v>
      </c>
      <c r="K16">
        <f t="shared" si="4"/>
        <v>209500</v>
      </c>
    </row>
    <row r="17" spans="1:11" x14ac:dyDescent="0.2">
      <c r="A17" t="s">
        <v>234</v>
      </c>
      <c r="B17">
        <v>0</v>
      </c>
      <c r="C17">
        <v>0</v>
      </c>
      <c r="D17">
        <v>0</v>
      </c>
      <c r="E17" s="4">
        <v>1000000</v>
      </c>
      <c r="F17">
        <v>0</v>
      </c>
      <c r="G17">
        <v>18</v>
      </c>
      <c r="H17">
        <f t="shared" si="5"/>
        <v>0</v>
      </c>
      <c r="I17">
        <f t="shared" si="4"/>
        <v>0</v>
      </c>
      <c r="J17">
        <f t="shared" si="4"/>
        <v>0</v>
      </c>
      <c r="K17">
        <f t="shared" si="4"/>
        <v>0</v>
      </c>
    </row>
    <row r="18" spans="1:11" x14ac:dyDescent="0.2">
      <c r="A18" t="s">
        <v>235</v>
      </c>
      <c r="B18">
        <v>0</v>
      </c>
      <c r="C18">
        <v>0</v>
      </c>
      <c r="D18">
        <v>0</v>
      </c>
      <c r="E18" s="4">
        <v>1000000</v>
      </c>
      <c r="F18">
        <v>0.5</v>
      </c>
      <c r="G18">
        <v>17.5</v>
      </c>
      <c r="H18">
        <f t="shared" si="5"/>
        <v>0</v>
      </c>
      <c r="I18">
        <f t="shared" si="4"/>
        <v>0</v>
      </c>
      <c r="J18">
        <f t="shared" si="4"/>
        <v>0</v>
      </c>
      <c r="K18">
        <f t="shared" si="4"/>
        <v>27777.777777777777</v>
      </c>
    </row>
    <row r="19" spans="1:11" x14ac:dyDescent="0.2">
      <c r="A19" t="s">
        <v>236</v>
      </c>
      <c r="B19">
        <v>0</v>
      </c>
      <c r="C19">
        <v>0</v>
      </c>
      <c r="D19">
        <v>0</v>
      </c>
      <c r="E19" s="4">
        <v>1000000</v>
      </c>
      <c r="F19">
        <v>1</v>
      </c>
      <c r="G19">
        <v>17</v>
      </c>
      <c r="H19">
        <f t="shared" si="5"/>
        <v>0</v>
      </c>
      <c r="I19">
        <f t="shared" si="4"/>
        <v>0</v>
      </c>
      <c r="J19">
        <f t="shared" si="4"/>
        <v>0</v>
      </c>
      <c r="K19">
        <f t="shared" si="4"/>
        <v>55555.555555555555</v>
      </c>
    </row>
    <row r="20" spans="1:11" x14ac:dyDescent="0.2">
      <c r="A20" t="s">
        <v>237</v>
      </c>
      <c r="B20">
        <v>0</v>
      </c>
      <c r="C20">
        <v>0</v>
      </c>
      <c r="D20">
        <v>0</v>
      </c>
      <c r="E20" s="4">
        <v>1000000</v>
      </c>
      <c r="F20">
        <v>2</v>
      </c>
      <c r="G20">
        <v>16</v>
      </c>
      <c r="H20">
        <f t="shared" si="5"/>
        <v>0</v>
      </c>
      <c r="I20">
        <f t="shared" ref="I20:I21" si="6">(C20*$F20)/18</f>
        <v>0</v>
      </c>
      <c r="J20">
        <f t="shared" ref="J20:J21" si="7">(D20*$F20)/18</f>
        <v>0</v>
      </c>
      <c r="K20">
        <f t="shared" ref="K20:K21" si="8">(E20*$F20)/18</f>
        <v>111111.11111111111</v>
      </c>
    </row>
    <row r="21" spans="1:11" x14ac:dyDescent="0.2">
      <c r="A21" t="s">
        <v>238</v>
      </c>
      <c r="B21">
        <v>0</v>
      </c>
      <c r="C21">
        <v>0</v>
      </c>
      <c r="D21">
        <v>0</v>
      </c>
      <c r="E21" s="4">
        <v>1000000</v>
      </c>
      <c r="F21">
        <v>3</v>
      </c>
      <c r="G21">
        <v>15</v>
      </c>
      <c r="H21">
        <f t="shared" si="5"/>
        <v>0</v>
      </c>
      <c r="I21">
        <f t="shared" si="6"/>
        <v>0</v>
      </c>
      <c r="J21">
        <f t="shared" si="7"/>
        <v>0</v>
      </c>
      <c r="K21">
        <f t="shared" si="8"/>
        <v>166666.66666666666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E665-B8A0-4DF5-AF0F-91ECD0AD8965}">
  <dimension ref="A1:O101"/>
  <sheetViews>
    <sheetView workbookViewId="0">
      <selection activeCell="E13" sqref="A1:O101"/>
    </sheetView>
  </sheetViews>
  <sheetFormatPr baseColWidth="10" defaultColWidth="8.83203125" defaultRowHeight="15" x14ac:dyDescent="0.2"/>
  <cols>
    <col min="1" max="1" width="4" bestFit="1" customWidth="1"/>
    <col min="2" max="2" width="17.6640625" bestFit="1" customWidth="1"/>
    <col min="3" max="3" width="16.1640625" bestFit="1" customWidth="1"/>
    <col min="4" max="4" width="4.5" bestFit="1" customWidth="1"/>
    <col min="5" max="5" width="22.33203125" bestFit="1" customWidth="1"/>
    <col min="6" max="6" width="10" bestFit="1" customWidth="1"/>
    <col min="7" max="7" width="4.5" bestFit="1" customWidth="1"/>
    <col min="8" max="8" width="22.33203125" bestFit="1" customWidth="1"/>
    <col min="9" max="9" width="10" bestFit="1" customWidth="1"/>
    <col min="10" max="10" width="4.1640625" bestFit="1" customWidth="1"/>
    <col min="11" max="11" width="22.33203125" bestFit="1" customWidth="1"/>
    <col min="12" max="12" width="10" bestFit="1" customWidth="1"/>
    <col min="13" max="13" width="4.83203125" bestFit="1" customWidth="1"/>
    <col min="14" max="14" width="22.33203125" bestFit="1" customWidth="1"/>
    <col min="15" max="15" width="10" bestFit="1" customWidth="1"/>
  </cols>
  <sheetData>
    <row r="1" spans="1:15" x14ac:dyDescent="0.2">
      <c r="B1" t="s">
        <v>205</v>
      </c>
      <c r="C1" t="s">
        <v>206</v>
      </c>
      <c r="D1" t="s">
        <v>245</v>
      </c>
      <c r="E1" t="s">
        <v>246</v>
      </c>
      <c r="F1" t="s">
        <v>210</v>
      </c>
      <c r="G1" t="s">
        <v>245</v>
      </c>
      <c r="H1" t="s">
        <v>246</v>
      </c>
      <c r="I1" t="s">
        <v>213</v>
      </c>
      <c r="J1" t="s">
        <v>245</v>
      </c>
      <c r="K1" t="s">
        <v>246</v>
      </c>
      <c r="L1" t="s">
        <v>215</v>
      </c>
      <c r="M1" t="s">
        <v>245</v>
      </c>
      <c r="N1" t="s">
        <v>246</v>
      </c>
      <c r="O1" t="s">
        <v>217</v>
      </c>
    </row>
    <row r="2" spans="1:15" x14ac:dyDescent="0.2">
      <c r="A2">
        <v>1</v>
      </c>
      <c r="B2" t="s">
        <v>220</v>
      </c>
      <c r="C2" t="s">
        <v>0</v>
      </c>
      <c r="D2" t="s">
        <v>1</v>
      </c>
      <c r="E2">
        <f>VLOOKUP($B2, 'Std Conc'!$A$2:$K$21, MATCH(D2, 'Std Conc'!$A$1:$K$1,0),FALSE)</f>
        <v>0</v>
      </c>
      <c r="F2">
        <v>0.3412</v>
      </c>
      <c r="G2" t="s">
        <v>3</v>
      </c>
      <c r="H2">
        <f>VLOOKUP($B2, 'Std Conc'!$A$2:$K$21, MATCH(G2, 'Std Conc'!$A$1:$K$1,0),FALSE)</f>
        <v>0</v>
      </c>
      <c r="I2">
        <v>107.5538</v>
      </c>
      <c r="J2" t="s">
        <v>218</v>
      </c>
      <c r="K2">
        <f>VLOOKUP($B2, 'Std Conc'!$A$2:$K$21, MATCH(J2, 'Std Conc'!$A$1:$K$1,0),FALSE)</f>
        <v>0</v>
      </c>
      <c r="L2">
        <v>3443.5486999999998</v>
      </c>
      <c r="M2" t="s">
        <v>105</v>
      </c>
      <c r="N2">
        <f>VLOOKUP($B2, 'Std Conc'!$A$2:$K$21, MATCH(M2, 'Std Conc'!$A$1:$K$1,0),FALSE)</f>
        <v>0</v>
      </c>
      <c r="O2">
        <v>65.249600000000001</v>
      </c>
    </row>
    <row r="3" spans="1:15" x14ac:dyDescent="0.2">
      <c r="A3">
        <v>2</v>
      </c>
      <c r="B3" t="s">
        <v>220</v>
      </c>
      <c r="C3" t="s">
        <v>4</v>
      </c>
      <c r="D3" t="s">
        <v>1</v>
      </c>
      <c r="E3">
        <f>VLOOKUP($B3, 'Std Conc'!$A$2:$K$21, MATCH(D3, 'Std Conc'!$A$1:$K$1,0),FALSE)</f>
        <v>0</v>
      </c>
      <c r="F3">
        <v>0.28860000000000002</v>
      </c>
      <c r="G3" t="s">
        <v>3</v>
      </c>
      <c r="H3">
        <f>VLOOKUP($B3, 'Std Conc'!$A$2:$K$21, MATCH(G3, 'Std Conc'!$A$1:$K$1,0),FALSE)</f>
        <v>0</v>
      </c>
      <c r="I3">
        <v>92.795000000000002</v>
      </c>
      <c r="J3" t="s">
        <v>218</v>
      </c>
      <c r="K3">
        <f>VLOOKUP($B3, 'Std Conc'!$A$2:$K$21, MATCH(J3, 'Std Conc'!$A$1:$K$1,0),FALSE)</f>
        <v>0</v>
      </c>
      <c r="L3">
        <v>3193.884</v>
      </c>
      <c r="M3" t="s">
        <v>105</v>
      </c>
      <c r="N3">
        <f>VLOOKUP($B3, 'Std Conc'!$A$2:$K$21, MATCH(M3, 'Std Conc'!$A$1:$K$1,0),FALSE)</f>
        <v>0</v>
      </c>
      <c r="O3">
        <v>56.245199999999997</v>
      </c>
    </row>
    <row r="4" spans="1:15" x14ac:dyDescent="0.2">
      <c r="A4">
        <v>3</v>
      </c>
      <c r="B4" t="s">
        <v>220</v>
      </c>
      <c r="C4" t="s">
        <v>5</v>
      </c>
      <c r="D4" t="s">
        <v>1</v>
      </c>
      <c r="E4">
        <f>VLOOKUP($B4, 'Std Conc'!$A$2:$K$21, MATCH(D4, 'Std Conc'!$A$1:$K$1,0),FALSE)</f>
        <v>0</v>
      </c>
      <c r="F4">
        <v>0.28689999999999999</v>
      </c>
      <c r="G4" t="s">
        <v>3</v>
      </c>
      <c r="H4">
        <f>VLOOKUP($B4, 'Std Conc'!$A$2:$K$21, MATCH(G4, 'Std Conc'!$A$1:$K$1,0),FALSE)</f>
        <v>0</v>
      </c>
      <c r="I4">
        <v>83.880899999999997</v>
      </c>
      <c r="J4" t="s">
        <v>218</v>
      </c>
      <c r="K4">
        <f>VLOOKUP($B4, 'Std Conc'!$A$2:$K$21, MATCH(J4, 'Std Conc'!$A$1:$K$1,0),FALSE)</f>
        <v>0</v>
      </c>
      <c r="L4">
        <v>3134.6017999999999</v>
      </c>
      <c r="M4" t="s">
        <v>105</v>
      </c>
      <c r="N4">
        <f>VLOOKUP($B4, 'Std Conc'!$A$2:$K$21, MATCH(M4, 'Std Conc'!$A$1:$K$1,0),FALSE)</f>
        <v>0</v>
      </c>
      <c r="O4">
        <v>55.716099999999997</v>
      </c>
    </row>
    <row r="5" spans="1:15" x14ac:dyDescent="0.2">
      <c r="A5">
        <v>4</v>
      </c>
      <c r="B5" t="s">
        <v>220</v>
      </c>
      <c r="C5" t="s">
        <v>6</v>
      </c>
      <c r="D5" t="s">
        <v>1</v>
      </c>
      <c r="E5">
        <f>VLOOKUP($B5, 'Std Conc'!$A$2:$K$21, MATCH(D5, 'Std Conc'!$A$1:$K$1,0),FALSE)</f>
        <v>0</v>
      </c>
      <c r="F5">
        <v>0.3664</v>
      </c>
      <c r="G5" t="s">
        <v>3</v>
      </c>
      <c r="H5">
        <f>VLOOKUP($B5, 'Std Conc'!$A$2:$K$21, MATCH(G5, 'Std Conc'!$A$1:$K$1,0),FALSE)</f>
        <v>0</v>
      </c>
      <c r="I5">
        <v>106.34480000000001</v>
      </c>
      <c r="J5" t="s">
        <v>218</v>
      </c>
      <c r="K5">
        <f>VLOOKUP($B5, 'Std Conc'!$A$2:$K$21, MATCH(J5, 'Std Conc'!$A$1:$K$1,0),FALSE)</f>
        <v>0</v>
      </c>
      <c r="L5">
        <v>3523.4861999999998</v>
      </c>
      <c r="M5" t="s">
        <v>105</v>
      </c>
      <c r="N5">
        <f>VLOOKUP($B5, 'Std Conc'!$A$2:$K$21, MATCH(M5, 'Std Conc'!$A$1:$K$1,0),FALSE)</f>
        <v>0</v>
      </c>
      <c r="O5">
        <v>67.144199999999998</v>
      </c>
    </row>
    <row r="6" spans="1:15" x14ac:dyDescent="0.2">
      <c r="A6">
        <v>5</v>
      </c>
      <c r="B6" t="s">
        <v>220</v>
      </c>
      <c r="C6" t="s">
        <v>7</v>
      </c>
      <c r="D6" t="s">
        <v>1</v>
      </c>
      <c r="E6">
        <f>VLOOKUP($B6, 'Std Conc'!$A$2:$K$21, MATCH(D6, 'Std Conc'!$A$1:$K$1,0),FALSE)</f>
        <v>0</v>
      </c>
      <c r="F6">
        <v>0.2984</v>
      </c>
      <c r="G6" t="s">
        <v>3</v>
      </c>
      <c r="H6">
        <f>VLOOKUP($B6, 'Std Conc'!$A$2:$K$21, MATCH(G6, 'Std Conc'!$A$1:$K$1,0),FALSE)</f>
        <v>0</v>
      </c>
      <c r="I6">
        <v>83.412999999999997</v>
      </c>
      <c r="J6" t="s">
        <v>218</v>
      </c>
      <c r="K6">
        <f>VLOOKUP($B6, 'Std Conc'!$A$2:$K$21, MATCH(J6, 'Std Conc'!$A$1:$K$1,0),FALSE)</f>
        <v>0</v>
      </c>
      <c r="L6">
        <v>3125.125</v>
      </c>
      <c r="M6" t="s">
        <v>105</v>
      </c>
      <c r="N6">
        <f>VLOOKUP($B6, 'Std Conc'!$A$2:$K$21, MATCH(M6, 'Std Conc'!$A$1:$K$1,0),FALSE)</f>
        <v>0</v>
      </c>
      <c r="O6">
        <v>55.316099999999999</v>
      </c>
    </row>
    <row r="7" spans="1:15" x14ac:dyDescent="0.2">
      <c r="A7">
        <v>6</v>
      </c>
      <c r="B7" t="s">
        <v>220</v>
      </c>
      <c r="C7" t="s">
        <v>8</v>
      </c>
      <c r="D7" t="s">
        <v>1</v>
      </c>
      <c r="E7">
        <f>VLOOKUP($B7, 'Std Conc'!$A$2:$K$21, MATCH(D7, 'Std Conc'!$A$1:$K$1,0),FALSE)</f>
        <v>0</v>
      </c>
      <c r="F7">
        <v>0.3589</v>
      </c>
      <c r="G7" t="s">
        <v>3</v>
      </c>
      <c r="H7">
        <f>VLOOKUP($B7, 'Std Conc'!$A$2:$K$21, MATCH(G7, 'Std Conc'!$A$1:$K$1,0),FALSE)</f>
        <v>0</v>
      </c>
      <c r="I7">
        <v>100.3836</v>
      </c>
      <c r="J7" t="s">
        <v>218</v>
      </c>
      <c r="K7">
        <f>VLOOKUP($B7, 'Std Conc'!$A$2:$K$21, MATCH(J7, 'Std Conc'!$A$1:$K$1,0),FALSE)</f>
        <v>0</v>
      </c>
      <c r="L7">
        <v>3358.2049999999999</v>
      </c>
      <c r="M7" t="s">
        <v>105</v>
      </c>
      <c r="N7">
        <f>VLOOKUP($B7, 'Std Conc'!$A$2:$K$21, MATCH(M7, 'Std Conc'!$A$1:$K$1,0),FALSE)</f>
        <v>0</v>
      </c>
      <c r="O7">
        <v>65.1327</v>
      </c>
    </row>
    <row r="8" spans="1:15" x14ac:dyDescent="0.2">
      <c r="A8">
        <v>7</v>
      </c>
      <c r="B8" t="s">
        <v>220</v>
      </c>
      <c r="C8" t="s">
        <v>9</v>
      </c>
      <c r="D8" t="s">
        <v>1</v>
      </c>
      <c r="E8">
        <f>VLOOKUP($B8, 'Std Conc'!$A$2:$K$21, MATCH(D8, 'Std Conc'!$A$1:$K$1,0),FALSE)</f>
        <v>0</v>
      </c>
      <c r="F8">
        <v>0.32719999999999999</v>
      </c>
      <c r="G8" t="s">
        <v>3</v>
      </c>
      <c r="H8">
        <f>VLOOKUP($B8, 'Std Conc'!$A$2:$K$21, MATCH(G8, 'Std Conc'!$A$1:$K$1,0),FALSE)</f>
        <v>0</v>
      </c>
      <c r="I8">
        <v>93.509299999999996</v>
      </c>
      <c r="J8" t="s">
        <v>218</v>
      </c>
      <c r="K8">
        <f>VLOOKUP($B8, 'Std Conc'!$A$2:$K$21, MATCH(J8, 'Std Conc'!$A$1:$K$1,0),FALSE)</f>
        <v>0</v>
      </c>
      <c r="L8">
        <v>3204.0272</v>
      </c>
      <c r="M8" t="s">
        <v>105</v>
      </c>
      <c r="N8">
        <f>VLOOKUP($B8, 'Std Conc'!$A$2:$K$21, MATCH(M8, 'Std Conc'!$A$1:$K$1,0),FALSE)</f>
        <v>0</v>
      </c>
      <c r="O8">
        <v>61.67</v>
      </c>
    </row>
    <row r="9" spans="1:15" x14ac:dyDescent="0.2">
      <c r="A9">
        <v>8</v>
      </c>
      <c r="B9" t="s">
        <v>220</v>
      </c>
      <c r="C9" t="s">
        <v>10</v>
      </c>
      <c r="D9" t="s">
        <v>1</v>
      </c>
      <c r="E9">
        <f>VLOOKUP($B9, 'Std Conc'!$A$2:$K$21, MATCH(D9, 'Std Conc'!$A$1:$K$1,0),FALSE)</f>
        <v>0</v>
      </c>
      <c r="F9">
        <v>0.36059999999999998</v>
      </c>
      <c r="G9" t="s">
        <v>3</v>
      </c>
      <c r="H9">
        <f>VLOOKUP($B9, 'Std Conc'!$A$2:$K$21, MATCH(G9, 'Std Conc'!$A$1:$K$1,0),FALSE)</f>
        <v>0</v>
      </c>
      <c r="I9">
        <v>94.233000000000004</v>
      </c>
      <c r="J9" t="s">
        <v>218</v>
      </c>
      <c r="K9">
        <f>VLOOKUP($B9, 'Std Conc'!$A$2:$K$21, MATCH(J9, 'Std Conc'!$A$1:$K$1,0),FALSE)</f>
        <v>0</v>
      </c>
      <c r="L9">
        <v>3344.1682999999998</v>
      </c>
      <c r="M9" t="s">
        <v>105</v>
      </c>
      <c r="N9">
        <f>VLOOKUP($B9, 'Std Conc'!$A$2:$K$21, MATCH(M9, 'Std Conc'!$A$1:$K$1,0),FALSE)</f>
        <v>0</v>
      </c>
      <c r="O9">
        <v>62.036799999999999</v>
      </c>
    </row>
    <row r="10" spans="1:15" x14ac:dyDescent="0.2">
      <c r="A10">
        <v>9</v>
      </c>
      <c r="B10" t="s">
        <v>220</v>
      </c>
      <c r="C10" t="s">
        <v>11</v>
      </c>
      <c r="D10" t="s">
        <v>1</v>
      </c>
      <c r="E10">
        <f>VLOOKUP($B10, 'Std Conc'!$A$2:$K$21, MATCH(D10, 'Std Conc'!$A$1:$K$1,0),FALSE)</f>
        <v>0</v>
      </c>
      <c r="F10">
        <v>0.28870000000000001</v>
      </c>
      <c r="G10" t="s">
        <v>3</v>
      </c>
      <c r="H10">
        <f>VLOOKUP($B10, 'Std Conc'!$A$2:$K$21, MATCH(G10, 'Std Conc'!$A$1:$K$1,0),FALSE)</f>
        <v>0</v>
      </c>
      <c r="I10">
        <v>87.251800000000003</v>
      </c>
      <c r="J10" t="s">
        <v>218</v>
      </c>
      <c r="K10">
        <f>VLOOKUP($B10, 'Std Conc'!$A$2:$K$21, MATCH(J10, 'Std Conc'!$A$1:$K$1,0),FALSE)</f>
        <v>0</v>
      </c>
      <c r="L10">
        <v>3100.4319</v>
      </c>
      <c r="M10" t="s">
        <v>105</v>
      </c>
      <c r="N10">
        <f>VLOOKUP($B10, 'Std Conc'!$A$2:$K$21, MATCH(M10, 'Std Conc'!$A$1:$K$1,0),FALSE)</f>
        <v>0</v>
      </c>
      <c r="O10">
        <v>56.313800000000001</v>
      </c>
    </row>
    <row r="11" spans="1:15" x14ac:dyDescent="0.2">
      <c r="A11">
        <v>10</v>
      </c>
      <c r="B11" t="s">
        <v>220</v>
      </c>
      <c r="C11" t="s">
        <v>12</v>
      </c>
      <c r="D11" t="s">
        <v>1</v>
      </c>
      <c r="E11">
        <f>VLOOKUP($B11, 'Std Conc'!$A$2:$K$21, MATCH(D11, 'Std Conc'!$A$1:$K$1,0),FALSE)</f>
        <v>0</v>
      </c>
      <c r="F11">
        <v>0.3725</v>
      </c>
      <c r="G11" t="s">
        <v>3</v>
      </c>
      <c r="H11">
        <f>VLOOKUP($B11, 'Std Conc'!$A$2:$K$21, MATCH(G11, 'Std Conc'!$A$1:$K$1,0),FALSE)</f>
        <v>0</v>
      </c>
      <c r="I11">
        <v>99.592200000000005</v>
      </c>
      <c r="J11" t="s">
        <v>218</v>
      </c>
      <c r="K11">
        <f>VLOOKUP($B11, 'Std Conc'!$A$2:$K$21, MATCH(J11, 'Std Conc'!$A$1:$K$1,0),FALSE)</f>
        <v>0</v>
      </c>
      <c r="L11">
        <v>3299.6260000000002</v>
      </c>
      <c r="M11" t="s">
        <v>105</v>
      </c>
      <c r="N11">
        <f>VLOOKUP($B11, 'Std Conc'!$A$2:$K$21, MATCH(M11, 'Std Conc'!$A$1:$K$1,0),FALSE)</f>
        <v>0</v>
      </c>
      <c r="O11">
        <v>65.107900000000001</v>
      </c>
    </row>
    <row r="12" spans="1:15" x14ac:dyDescent="0.2">
      <c r="A12">
        <v>11</v>
      </c>
      <c r="B12" t="s">
        <v>219</v>
      </c>
      <c r="C12" t="s">
        <v>13</v>
      </c>
      <c r="D12" t="s">
        <v>1</v>
      </c>
      <c r="E12">
        <f>VLOOKUP($B12, 'Std Conc'!$A$2:$K$21, MATCH(D12, 'Std Conc'!$A$1:$K$1,0),FALSE)</f>
        <v>0</v>
      </c>
      <c r="F12">
        <v>0</v>
      </c>
      <c r="G12" t="s">
        <v>3</v>
      </c>
      <c r="H12">
        <f>VLOOKUP($B12, 'Std Conc'!$A$2:$K$21, MATCH(G12, 'Std Conc'!$A$1:$K$1,0),FALSE)</f>
        <v>0</v>
      </c>
      <c r="I12">
        <v>42.834800000000001</v>
      </c>
      <c r="J12" t="s">
        <v>218</v>
      </c>
      <c r="K12">
        <f>VLOOKUP($B12, 'Std Conc'!$A$2:$K$21, MATCH(J12, 'Std Conc'!$A$1:$K$1,0),FALSE)</f>
        <v>0</v>
      </c>
      <c r="L12">
        <v>1189.5070000000001</v>
      </c>
      <c r="M12" t="s">
        <v>105</v>
      </c>
      <c r="N12">
        <f>VLOOKUP($B12, 'Std Conc'!$A$2:$K$21, MATCH(M12, 'Std Conc'!$A$1:$K$1,0),FALSE)</f>
        <v>0</v>
      </c>
      <c r="O12">
        <v>19.188199999999998</v>
      </c>
    </row>
    <row r="13" spans="1:15" x14ac:dyDescent="0.2">
      <c r="A13">
        <v>12</v>
      </c>
      <c r="B13" t="s">
        <v>220</v>
      </c>
      <c r="C13" t="s">
        <v>14</v>
      </c>
      <c r="D13" t="s">
        <v>1</v>
      </c>
      <c r="E13">
        <f>VLOOKUP($B13, 'Std Conc'!$A$2:$K$21, MATCH(D13, 'Std Conc'!$A$1:$K$1,0),FALSE)</f>
        <v>0</v>
      </c>
      <c r="F13">
        <v>0.316</v>
      </c>
      <c r="G13" t="s">
        <v>3</v>
      </c>
      <c r="H13">
        <f>VLOOKUP($B13, 'Std Conc'!$A$2:$K$21, MATCH(G13, 'Std Conc'!$A$1:$K$1,0),FALSE)</f>
        <v>0</v>
      </c>
      <c r="I13">
        <v>90.039100000000005</v>
      </c>
      <c r="J13" t="s">
        <v>218</v>
      </c>
      <c r="K13">
        <f>VLOOKUP($B13, 'Std Conc'!$A$2:$K$21, MATCH(J13, 'Std Conc'!$A$1:$K$1,0),FALSE)</f>
        <v>0</v>
      </c>
      <c r="L13">
        <v>3125.5167999999999</v>
      </c>
      <c r="M13" t="s">
        <v>105</v>
      </c>
      <c r="N13">
        <f>VLOOKUP($B13, 'Std Conc'!$A$2:$K$21, MATCH(M13, 'Std Conc'!$A$1:$K$1,0),FALSE)</f>
        <v>0</v>
      </c>
      <c r="O13">
        <v>56.7014</v>
      </c>
    </row>
    <row r="14" spans="1:15" x14ac:dyDescent="0.2">
      <c r="A14">
        <v>13</v>
      </c>
      <c r="B14" t="s">
        <v>222</v>
      </c>
      <c r="C14" t="s">
        <v>15</v>
      </c>
      <c r="D14" t="s">
        <v>1</v>
      </c>
      <c r="E14">
        <f>VLOOKUP($B14, 'Std Conc'!$A$2:$K$21, MATCH(D14, 'Std Conc'!$A$1:$K$1,0),FALSE)</f>
        <v>0.97629999999999995</v>
      </c>
      <c r="F14">
        <v>0.21640000000000001</v>
      </c>
      <c r="G14" t="s">
        <v>3</v>
      </c>
      <c r="H14">
        <f>VLOOKUP($B14, 'Std Conc'!$A$2:$K$21, MATCH(G14, 'Std Conc'!$A$1:$K$1,0),FALSE)</f>
        <v>152.4</v>
      </c>
      <c r="I14">
        <v>90.793899999999994</v>
      </c>
      <c r="J14" t="s">
        <v>218</v>
      </c>
      <c r="K14">
        <f>VLOOKUP($B14, 'Std Conc'!$A$2:$K$21, MATCH(J14, 'Std Conc'!$A$1:$K$1,0),FALSE)</f>
        <v>180100</v>
      </c>
      <c r="L14">
        <v>3538.2838999999999</v>
      </c>
      <c r="M14" t="s">
        <v>105</v>
      </c>
      <c r="N14">
        <f>VLOOKUP($B14, 'Std Conc'!$A$2:$K$21, MATCH(M14, 'Std Conc'!$A$1:$K$1,0),FALSE)</f>
        <v>0.22800000000000001</v>
      </c>
      <c r="O14">
        <v>67.0398</v>
      </c>
    </row>
    <row r="15" spans="1:15" x14ac:dyDescent="0.2">
      <c r="A15">
        <v>14</v>
      </c>
      <c r="B15" t="s">
        <v>220</v>
      </c>
      <c r="C15" t="s">
        <v>16</v>
      </c>
      <c r="D15" t="s">
        <v>1</v>
      </c>
      <c r="E15">
        <f>VLOOKUP($B15, 'Std Conc'!$A$2:$K$21, MATCH(D15, 'Std Conc'!$A$1:$K$1,0),FALSE)</f>
        <v>0</v>
      </c>
      <c r="F15">
        <v>0.372</v>
      </c>
      <c r="G15" t="s">
        <v>3</v>
      </c>
      <c r="H15">
        <f>VLOOKUP($B15, 'Std Conc'!$A$2:$K$21, MATCH(G15, 'Std Conc'!$A$1:$K$1,0),FALSE)</f>
        <v>0</v>
      </c>
      <c r="I15">
        <v>101.8445</v>
      </c>
      <c r="J15" t="s">
        <v>218</v>
      </c>
      <c r="K15">
        <f>VLOOKUP($B15, 'Std Conc'!$A$2:$K$21, MATCH(J15, 'Std Conc'!$A$1:$K$1,0),FALSE)</f>
        <v>0</v>
      </c>
      <c r="L15">
        <v>3322.6725000000001</v>
      </c>
      <c r="M15" t="s">
        <v>105</v>
      </c>
      <c r="N15">
        <f>VLOOKUP($B15, 'Std Conc'!$A$2:$K$21, MATCH(M15, 'Std Conc'!$A$1:$K$1,0),FALSE)</f>
        <v>0</v>
      </c>
      <c r="O15">
        <v>69.297399999999996</v>
      </c>
    </row>
    <row r="16" spans="1:15" x14ac:dyDescent="0.2">
      <c r="A16">
        <v>15</v>
      </c>
      <c r="B16" t="s">
        <v>221</v>
      </c>
      <c r="C16" t="s">
        <v>17</v>
      </c>
      <c r="D16" t="s">
        <v>1</v>
      </c>
      <c r="E16">
        <f>VLOOKUP($B16, 'Std Conc'!$A$2:$K$21, MATCH(D16, 'Std Conc'!$A$1:$K$1,0),FALSE)</f>
        <v>3.008</v>
      </c>
      <c r="F16">
        <v>0.66100000000000003</v>
      </c>
      <c r="G16" t="s">
        <v>3</v>
      </c>
      <c r="H16">
        <f>VLOOKUP($B16, 'Std Conc'!$A$2:$K$21, MATCH(G16, 'Std Conc'!$A$1:$K$1,0),FALSE)</f>
        <v>426.2</v>
      </c>
      <c r="I16">
        <v>169.85300000000001</v>
      </c>
      <c r="J16" t="s">
        <v>218</v>
      </c>
      <c r="K16">
        <f>VLOOKUP($B16, 'Std Conc'!$A$2:$K$21, MATCH(J16, 'Std Conc'!$A$1:$K$1,0),FALSE)</f>
        <v>240100</v>
      </c>
      <c r="L16">
        <v>3998.8420000000001</v>
      </c>
      <c r="M16" t="s">
        <v>105</v>
      </c>
      <c r="N16">
        <f>VLOOKUP($B16, 'Std Conc'!$A$2:$K$21, MATCH(M16, 'Std Conc'!$A$1:$K$1,0),FALSE)</f>
        <v>0.379</v>
      </c>
      <c r="O16">
        <v>107.5364</v>
      </c>
    </row>
    <row r="17" spans="1:15" x14ac:dyDescent="0.2">
      <c r="A17">
        <v>16</v>
      </c>
      <c r="B17" t="s">
        <v>220</v>
      </c>
      <c r="C17" t="s">
        <v>18</v>
      </c>
      <c r="D17" t="s">
        <v>1</v>
      </c>
      <c r="E17">
        <f>VLOOKUP($B17, 'Std Conc'!$A$2:$K$21, MATCH(D17, 'Std Conc'!$A$1:$K$1,0),FALSE)</f>
        <v>0</v>
      </c>
      <c r="F17">
        <v>0.33360000000000001</v>
      </c>
      <c r="G17" t="s">
        <v>3</v>
      </c>
      <c r="H17">
        <f>VLOOKUP($B17, 'Std Conc'!$A$2:$K$21, MATCH(G17, 'Std Conc'!$A$1:$K$1,0),FALSE)</f>
        <v>0</v>
      </c>
      <c r="I17">
        <v>96.419200000000004</v>
      </c>
      <c r="J17" t="s">
        <v>218</v>
      </c>
      <c r="K17">
        <f>VLOOKUP($B17, 'Std Conc'!$A$2:$K$21, MATCH(J17, 'Std Conc'!$A$1:$K$1,0),FALSE)</f>
        <v>0</v>
      </c>
      <c r="L17">
        <v>3241.9110999999998</v>
      </c>
      <c r="M17" t="s">
        <v>105</v>
      </c>
      <c r="N17">
        <f>VLOOKUP($B17, 'Std Conc'!$A$2:$K$21, MATCH(M17, 'Std Conc'!$A$1:$K$1,0),FALSE)</f>
        <v>0</v>
      </c>
      <c r="O17">
        <v>64.590199999999996</v>
      </c>
    </row>
    <row r="18" spans="1:15" x14ac:dyDescent="0.2">
      <c r="A18">
        <v>17</v>
      </c>
      <c r="B18" t="s">
        <v>223</v>
      </c>
      <c r="C18" t="s">
        <v>19</v>
      </c>
      <c r="D18" t="s">
        <v>1</v>
      </c>
      <c r="E18">
        <f>VLOOKUP($B18, 'Std Conc'!$A$2:$K$21, MATCH(D18, 'Std Conc'!$A$1:$K$1,0),FALSE)</f>
        <v>20.64</v>
      </c>
      <c r="F18">
        <v>4.5819999999999999</v>
      </c>
      <c r="G18" t="s">
        <v>3</v>
      </c>
      <c r="H18">
        <f>VLOOKUP($B18, 'Std Conc'!$A$2:$K$21, MATCH(G18, 'Std Conc'!$A$1:$K$1,0),FALSE)</f>
        <v>2013</v>
      </c>
      <c r="I18">
        <v>608.41579999999999</v>
      </c>
      <c r="J18" t="s">
        <v>218</v>
      </c>
      <c r="K18">
        <f>VLOOKUP($B18, 'Std Conc'!$A$2:$K$21, MATCH(J18, 'Std Conc'!$A$1:$K$1,0),FALSE)</f>
        <v>200500</v>
      </c>
      <c r="L18">
        <v>3708.5252</v>
      </c>
      <c r="M18" t="s">
        <v>105</v>
      </c>
      <c r="N18">
        <f>VLOOKUP($B18, 'Std Conc'!$A$2:$K$21, MATCH(M18, 'Std Conc'!$A$1:$K$1,0),FALSE)</f>
        <v>0.495</v>
      </c>
      <c r="O18">
        <v>159.18940000000001</v>
      </c>
    </row>
    <row r="19" spans="1:15" x14ac:dyDescent="0.2">
      <c r="A19">
        <v>18</v>
      </c>
      <c r="B19" t="s">
        <v>220</v>
      </c>
      <c r="C19" t="s">
        <v>20</v>
      </c>
      <c r="D19" t="s">
        <v>1</v>
      </c>
      <c r="E19">
        <f>VLOOKUP($B19, 'Std Conc'!$A$2:$K$21, MATCH(D19, 'Std Conc'!$A$1:$K$1,0),FALSE)</f>
        <v>0</v>
      </c>
      <c r="F19">
        <v>0.38590000000000002</v>
      </c>
      <c r="G19" t="s">
        <v>3</v>
      </c>
      <c r="H19">
        <f>VLOOKUP($B19, 'Std Conc'!$A$2:$K$21, MATCH(G19, 'Std Conc'!$A$1:$K$1,0),FALSE)</f>
        <v>0</v>
      </c>
      <c r="I19">
        <v>100.8193</v>
      </c>
      <c r="J19" t="s">
        <v>218</v>
      </c>
      <c r="K19">
        <f>VLOOKUP($B19, 'Std Conc'!$A$2:$K$21, MATCH(J19, 'Std Conc'!$A$1:$K$1,0),FALSE)</f>
        <v>0</v>
      </c>
      <c r="L19">
        <v>3270.9076</v>
      </c>
      <c r="M19" t="s">
        <v>105</v>
      </c>
      <c r="N19">
        <f>VLOOKUP($B19, 'Std Conc'!$A$2:$K$21, MATCH(M19, 'Std Conc'!$A$1:$K$1,0),FALSE)</f>
        <v>0</v>
      </c>
      <c r="O19">
        <v>67.015199999999993</v>
      </c>
    </row>
    <row r="20" spans="1:15" x14ac:dyDescent="0.2">
      <c r="A20">
        <v>19</v>
      </c>
      <c r="B20" t="s">
        <v>224</v>
      </c>
      <c r="C20" t="s">
        <v>21</v>
      </c>
      <c r="D20" t="s">
        <v>1</v>
      </c>
      <c r="E20">
        <f>VLOOKUP($B20, 'Std Conc'!$A$2:$K$21, MATCH(D20, 'Std Conc'!$A$1:$K$1,0),FALSE)</f>
        <v>201.4</v>
      </c>
      <c r="F20">
        <v>46.089799999999997</v>
      </c>
      <c r="G20" t="s">
        <v>3</v>
      </c>
      <c r="H20">
        <f>VLOOKUP($B20, 'Std Conc'!$A$2:$K$21, MATCH(G20, 'Std Conc'!$A$1:$K$1,0),FALSE)</f>
        <v>4967</v>
      </c>
      <c r="I20">
        <v>1441.5491999999999</v>
      </c>
      <c r="J20" t="s">
        <v>218</v>
      </c>
      <c r="K20">
        <f>VLOOKUP($B20, 'Std Conc'!$A$2:$K$21, MATCH(J20, 'Std Conc'!$A$1:$K$1,0),FALSE)</f>
        <v>200700</v>
      </c>
      <c r="L20">
        <v>3685.1797999999999</v>
      </c>
      <c r="M20" t="s">
        <v>105</v>
      </c>
      <c r="N20">
        <f>VLOOKUP($B20, 'Std Conc'!$A$2:$K$21, MATCH(M20, 'Std Conc'!$A$1:$K$1,0),FALSE)</f>
        <v>2.4900000000000002</v>
      </c>
      <c r="O20">
        <v>700.85940000000005</v>
      </c>
    </row>
    <row r="21" spans="1:15" x14ac:dyDescent="0.2">
      <c r="A21">
        <v>20</v>
      </c>
      <c r="B21" t="s">
        <v>220</v>
      </c>
      <c r="C21" t="s">
        <v>22</v>
      </c>
      <c r="D21" t="s">
        <v>1</v>
      </c>
      <c r="E21">
        <f>VLOOKUP($B21, 'Std Conc'!$A$2:$K$21, MATCH(D21, 'Std Conc'!$A$1:$K$1,0),FALSE)</f>
        <v>0</v>
      </c>
      <c r="F21">
        <v>0.32790000000000002</v>
      </c>
      <c r="G21" t="s">
        <v>3</v>
      </c>
      <c r="H21">
        <f>VLOOKUP($B21, 'Std Conc'!$A$2:$K$21, MATCH(G21, 'Std Conc'!$A$1:$K$1,0),FALSE)</f>
        <v>0</v>
      </c>
      <c r="I21">
        <v>89.769000000000005</v>
      </c>
      <c r="J21" t="s">
        <v>218</v>
      </c>
      <c r="K21">
        <f>VLOOKUP($B21, 'Std Conc'!$A$2:$K$21, MATCH(J21, 'Std Conc'!$A$1:$K$1,0),FALSE)</f>
        <v>0</v>
      </c>
      <c r="L21">
        <v>3100.4198000000001</v>
      </c>
      <c r="M21" t="s">
        <v>105</v>
      </c>
      <c r="N21">
        <f>VLOOKUP($B21, 'Std Conc'!$A$2:$K$21, MATCH(M21, 'Std Conc'!$A$1:$K$1,0),FALSE)</f>
        <v>0</v>
      </c>
      <c r="O21">
        <v>59.180999999999997</v>
      </c>
    </row>
    <row r="22" spans="1:15" x14ac:dyDescent="0.2">
      <c r="A22">
        <v>21</v>
      </c>
      <c r="B22" t="s">
        <v>225</v>
      </c>
      <c r="C22" t="s">
        <v>23</v>
      </c>
      <c r="D22" t="s">
        <v>1</v>
      </c>
      <c r="E22">
        <f>VLOOKUP($B22, 'Std Conc'!$A$2:$K$21, MATCH(D22, 'Std Conc'!$A$1:$K$1,0),FALSE)</f>
        <v>5029</v>
      </c>
      <c r="F22">
        <v>1168.6967999999999</v>
      </c>
      <c r="G22" t="s">
        <v>3</v>
      </c>
      <c r="H22">
        <f>VLOOKUP($B22, 'Std Conc'!$A$2:$K$21, MATCH(G22, 'Std Conc'!$A$1:$K$1,0),FALSE)</f>
        <v>10080</v>
      </c>
      <c r="I22">
        <v>2767.3438000000001</v>
      </c>
      <c r="J22" t="s">
        <v>218</v>
      </c>
      <c r="K22">
        <f>VLOOKUP($B22, 'Std Conc'!$A$2:$K$21, MATCH(J22, 'Std Conc'!$A$1:$K$1,0),FALSE)</f>
        <v>202000</v>
      </c>
      <c r="L22">
        <v>3714.3755999999998</v>
      </c>
      <c r="M22" t="s">
        <v>105</v>
      </c>
      <c r="N22">
        <f>VLOOKUP($B22, 'Std Conc'!$A$2:$K$21, MATCH(M22, 'Std Conc'!$A$1:$K$1,0),FALSE)</f>
        <v>5</v>
      </c>
      <c r="O22">
        <v>1355.2818</v>
      </c>
    </row>
    <row r="23" spans="1:15" x14ac:dyDescent="0.2">
      <c r="A23">
        <v>22</v>
      </c>
      <c r="B23" t="s">
        <v>220</v>
      </c>
      <c r="C23" t="s">
        <v>24</v>
      </c>
      <c r="D23" t="s">
        <v>1</v>
      </c>
      <c r="E23">
        <f>VLOOKUP($B23, 'Std Conc'!$A$2:$K$21, MATCH(D23, 'Std Conc'!$A$1:$K$1,0),FALSE)</f>
        <v>0</v>
      </c>
      <c r="F23">
        <v>4.2409999999999997</v>
      </c>
      <c r="G23" t="s">
        <v>3</v>
      </c>
      <c r="H23">
        <f>VLOOKUP($B23, 'Std Conc'!$A$2:$K$21, MATCH(G23, 'Std Conc'!$A$1:$K$1,0),FALSE)</f>
        <v>0</v>
      </c>
      <c r="I23">
        <v>102.3</v>
      </c>
      <c r="J23" t="s">
        <v>218</v>
      </c>
      <c r="K23">
        <f>VLOOKUP($B23, 'Std Conc'!$A$2:$K$21, MATCH(J23, 'Std Conc'!$A$1:$K$1,0),FALSE)</f>
        <v>0</v>
      </c>
      <c r="L23">
        <v>3117.1192000000001</v>
      </c>
      <c r="M23" t="s">
        <v>105</v>
      </c>
      <c r="N23">
        <f>VLOOKUP($B23, 'Std Conc'!$A$2:$K$21, MATCH(M23, 'Std Conc'!$A$1:$K$1,0),FALSE)</f>
        <v>0</v>
      </c>
      <c r="O23">
        <v>65.548900000000003</v>
      </c>
    </row>
    <row r="24" spans="1:15" x14ac:dyDescent="0.2">
      <c r="A24">
        <v>23</v>
      </c>
      <c r="B24" t="s">
        <v>226</v>
      </c>
      <c r="C24" t="s">
        <v>25</v>
      </c>
      <c r="D24" t="s">
        <v>1</v>
      </c>
      <c r="E24">
        <f>VLOOKUP($B24, 'Std Conc'!$A$2:$K$21, MATCH(D24, 'Std Conc'!$A$1:$K$1,0),FALSE)</f>
        <v>60340</v>
      </c>
      <c r="F24">
        <v>9950.0195000000003</v>
      </c>
      <c r="G24" t="s">
        <v>3</v>
      </c>
      <c r="H24">
        <f>VLOOKUP($B24, 'Std Conc'!$A$2:$K$21, MATCH(G24, 'Std Conc'!$A$1:$K$1,0),FALSE)</f>
        <v>49990</v>
      </c>
      <c r="I24">
        <v>12066.329</v>
      </c>
      <c r="J24" t="s">
        <v>218</v>
      </c>
      <c r="K24">
        <f>VLOOKUP($B24, 'Std Conc'!$A$2:$K$21, MATCH(J24, 'Std Conc'!$A$1:$K$1,0),FALSE)</f>
        <v>0</v>
      </c>
      <c r="L24">
        <v>1166.1043999999999</v>
      </c>
      <c r="M24" t="s">
        <v>105</v>
      </c>
      <c r="N24">
        <f>VLOOKUP($B24, 'Std Conc'!$A$2:$K$21, MATCH(M24, 'Std Conc'!$A$1:$K$1,0),FALSE)</f>
        <v>20</v>
      </c>
      <c r="O24">
        <v>4914.8746000000001</v>
      </c>
    </row>
    <row r="25" spans="1:15" x14ac:dyDescent="0.2">
      <c r="A25">
        <v>24</v>
      </c>
      <c r="B25" t="s">
        <v>220</v>
      </c>
      <c r="C25" t="s">
        <v>26</v>
      </c>
      <c r="D25" t="s">
        <v>1</v>
      </c>
      <c r="E25">
        <f>VLOOKUP($B25, 'Std Conc'!$A$2:$K$21, MATCH(D25, 'Std Conc'!$A$1:$K$1,0),FALSE)</f>
        <v>0</v>
      </c>
      <c r="F25">
        <v>0.60440000000000005</v>
      </c>
      <c r="G25" t="s">
        <v>3</v>
      </c>
      <c r="H25">
        <f>VLOOKUP($B25, 'Std Conc'!$A$2:$K$21, MATCH(G25, 'Std Conc'!$A$1:$K$1,0),FALSE)</f>
        <v>0</v>
      </c>
      <c r="I25">
        <v>96.255499999999998</v>
      </c>
      <c r="J25" t="s">
        <v>218</v>
      </c>
      <c r="K25">
        <f>VLOOKUP($B25, 'Std Conc'!$A$2:$K$21, MATCH(J25, 'Std Conc'!$A$1:$K$1,0),FALSE)</f>
        <v>0</v>
      </c>
      <c r="L25">
        <v>3203.0542</v>
      </c>
      <c r="M25" t="s">
        <v>105</v>
      </c>
      <c r="N25">
        <f>VLOOKUP($B25, 'Std Conc'!$A$2:$K$21, MATCH(M25, 'Std Conc'!$A$1:$K$1,0),FALSE)</f>
        <v>0</v>
      </c>
      <c r="O25">
        <v>65.567999999999998</v>
      </c>
    </row>
    <row r="26" spans="1:15" x14ac:dyDescent="0.2">
      <c r="A26">
        <v>25</v>
      </c>
      <c r="B26" t="s">
        <v>220</v>
      </c>
      <c r="C26" t="s">
        <v>27</v>
      </c>
      <c r="D26" t="s">
        <v>1</v>
      </c>
      <c r="E26">
        <f>VLOOKUP($B26, 'Std Conc'!$A$2:$K$21, MATCH(D26, 'Std Conc'!$A$1:$K$1,0),FALSE)</f>
        <v>0</v>
      </c>
      <c r="F26">
        <v>0.34050000000000002</v>
      </c>
      <c r="G26" t="s">
        <v>3</v>
      </c>
      <c r="H26">
        <f>VLOOKUP($B26, 'Std Conc'!$A$2:$K$21, MATCH(G26, 'Std Conc'!$A$1:$K$1,0),FALSE)</f>
        <v>0</v>
      </c>
      <c r="I26">
        <v>83.866799999999998</v>
      </c>
      <c r="J26" t="s">
        <v>218</v>
      </c>
      <c r="K26">
        <f>VLOOKUP($B26, 'Std Conc'!$A$2:$K$21, MATCH(J26, 'Std Conc'!$A$1:$K$1,0),FALSE)</f>
        <v>0</v>
      </c>
      <c r="L26">
        <v>3105.1792</v>
      </c>
      <c r="M26" t="s">
        <v>105</v>
      </c>
      <c r="N26">
        <f>VLOOKUP($B26, 'Std Conc'!$A$2:$K$21, MATCH(M26, 'Std Conc'!$A$1:$K$1,0),FALSE)</f>
        <v>0</v>
      </c>
      <c r="O26">
        <v>53.984400000000001</v>
      </c>
    </row>
    <row r="27" spans="1:15" x14ac:dyDescent="0.2">
      <c r="A27">
        <v>26</v>
      </c>
      <c r="B27" t="s">
        <v>220</v>
      </c>
      <c r="C27" t="s">
        <v>28</v>
      </c>
      <c r="D27" t="s">
        <v>1</v>
      </c>
      <c r="E27">
        <f>VLOOKUP($B27, 'Std Conc'!$A$2:$K$21, MATCH(D27, 'Std Conc'!$A$1:$K$1,0),FALSE)</f>
        <v>0</v>
      </c>
      <c r="F27">
        <v>0.29320000000000002</v>
      </c>
      <c r="G27" t="s">
        <v>3</v>
      </c>
      <c r="H27">
        <f>VLOOKUP($B27, 'Std Conc'!$A$2:$K$21, MATCH(G27, 'Std Conc'!$A$1:$K$1,0),FALSE)</f>
        <v>0</v>
      </c>
      <c r="I27">
        <v>83.156800000000004</v>
      </c>
      <c r="J27" t="s">
        <v>218</v>
      </c>
      <c r="K27">
        <f>VLOOKUP($B27, 'Std Conc'!$A$2:$K$21, MATCH(J27, 'Std Conc'!$A$1:$K$1,0),FALSE)</f>
        <v>0</v>
      </c>
      <c r="L27">
        <v>3008.9679999999998</v>
      </c>
      <c r="M27" t="s">
        <v>105</v>
      </c>
      <c r="N27">
        <f>VLOOKUP($B27, 'Std Conc'!$A$2:$K$21, MATCH(M27, 'Std Conc'!$A$1:$K$1,0),FALSE)</f>
        <v>0</v>
      </c>
      <c r="O27">
        <v>54</v>
      </c>
    </row>
    <row r="28" spans="1:15" x14ac:dyDescent="0.2">
      <c r="A28">
        <v>27</v>
      </c>
      <c r="B28" t="s">
        <v>219</v>
      </c>
      <c r="C28" t="s">
        <v>29</v>
      </c>
      <c r="D28" t="s">
        <v>1</v>
      </c>
      <c r="E28">
        <f>VLOOKUP($B28, 'Std Conc'!$A$2:$K$21, MATCH(D28, 'Std Conc'!$A$1:$K$1,0),FALSE)</f>
        <v>0</v>
      </c>
      <c r="F28">
        <v>0</v>
      </c>
      <c r="G28" t="s">
        <v>3</v>
      </c>
      <c r="H28">
        <f>VLOOKUP($B28, 'Std Conc'!$A$2:$K$21, MATCH(G28, 'Std Conc'!$A$1:$K$1,0),FALSE)</f>
        <v>0</v>
      </c>
      <c r="I28">
        <v>39.374299999999998</v>
      </c>
      <c r="J28" t="s">
        <v>218</v>
      </c>
      <c r="K28">
        <f>VLOOKUP($B28, 'Std Conc'!$A$2:$K$21, MATCH(J28, 'Std Conc'!$A$1:$K$1,0),FALSE)</f>
        <v>0</v>
      </c>
      <c r="L28">
        <v>1165.4472000000001</v>
      </c>
      <c r="M28" t="s">
        <v>105</v>
      </c>
      <c r="N28">
        <f>VLOOKUP($B28, 'Std Conc'!$A$2:$K$21, MATCH(M28, 'Std Conc'!$A$1:$K$1,0),FALSE)</f>
        <v>0</v>
      </c>
      <c r="O28">
        <v>16.123000000000001</v>
      </c>
    </row>
    <row r="29" spans="1:15" x14ac:dyDescent="0.2">
      <c r="A29">
        <v>28</v>
      </c>
      <c r="B29" t="s">
        <v>220</v>
      </c>
      <c r="C29" t="s">
        <v>30</v>
      </c>
      <c r="D29" t="s">
        <v>1</v>
      </c>
      <c r="E29">
        <f>VLOOKUP($B29, 'Std Conc'!$A$2:$K$21, MATCH(D29, 'Std Conc'!$A$1:$K$1,0),FALSE)</f>
        <v>0</v>
      </c>
      <c r="F29">
        <v>0.37569999999999998</v>
      </c>
      <c r="G29" t="s">
        <v>3</v>
      </c>
      <c r="H29">
        <f>VLOOKUP($B29, 'Std Conc'!$A$2:$K$21, MATCH(G29, 'Std Conc'!$A$1:$K$1,0),FALSE)</f>
        <v>0</v>
      </c>
      <c r="I29">
        <v>92.766999999999996</v>
      </c>
      <c r="J29" t="s">
        <v>218</v>
      </c>
      <c r="K29">
        <f>VLOOKUP($B29, 'Std Conc'!$A$2:$K$21, MATCH(J29, 'Std Conc'!$A$1:$K$1,0),FALSE)</f>
        <v>0</v>
      </c>
      <c r="L29">
        <v>3138.0347999999999</v>
      </c>
      <c r="M29" t="s">
        <v>105</v>
      </c>
      <c r="N29">
        <f>VLOOKUP($B29, 'Std Conc'!$A$2:$K$21, MATCH(M29, 'Std Conc'!$A$1:$K$1,0),FALSE)</f>
        <v>0</v>
      </c>
      <c r="O29">
        <v>58.904600000000002</v>
      </c>
    </row>
    <row r="30" spans="1:15" x14ac:dyDescent="0.2">
      <c r="A30">
        <v>29</v>
      </c>
      <c r="B30" t="s">
        <v>222</v>
      </c>
      <c r="C30" t="s">
        <v>31</v>
      </c>
      <c r="D30" t="s">
        <v>1</v>
      </c>
      <c r="E30">
        <f>VLOOKUP($B30, 'Std Conc'!$A$2:$K$21, MATCH(D30, 'Std Conc'!$A$1:$K$1,0),FALSE)</f>
        <v>0.97629999999999995</v>
      </c>
      <c r="F30">
        <v>0.2364</v>
      </c>
      <c r="G30" t="s">
        <v>3</v>
      </c>
      <c r="H30">
        <f>VLOOKUP($B30, 'Std Conc'!$A$2:$K$21, MATCH(G30, 'Std Conc'!$A$1:$K$1,0),FALSE)</f>
        <v>152.4</v>
      </c>
      <c r="I30">
        <v>91.222200000000001</v>
      </c>
      <c r="J30" t="s">
        <v>218</v>
      </c>
      <c r="K30">
        <f>VLOOKUP($B30, 'Std Conc'!$A$2:$K$21, MATCH(J30, 'Std Conc'!$A$1:$K$1,0),FALSE)</f>
        <v>180100</v>
      </c>
      <c r="L30">
        <v>3472.6210000000001</v>
      </c>
      <c r="M30" t="s">
        <v>105</v>
      </c>
      <c r="N30">
        <f>VLOOKUP($B30, 'Std Conc'!$A$2:$K$21, MATCH(M30, 'Std Conc'!$A$1:$K$1,0),FALSE)</f>
        <v>0.22800000000000001</v>
      </c>
      <c r="O30">
        <v>66.964399999999998</v>
      </c>
    </row>
    <row r="31" spans="1:15" x14ac:dyDescent="0.2">
      <c r="A31">
        <v>30</v>
      </c>
      <c r="B31" t="s">
        <v>220</v>
      </c>
      <c r="C31" t="s">
        <v>32</v>
      </c>
      <c r="D31" t="s">
        <v>1</v>
      </c>
      <c r="E31">
        <f>VLOOKUP($B31, 'Std Conc'!$A$2:$K$21, MATCH(D31, 'Std Conc'!$A$1:$K$1,0),FALSE)</f>
        <v>0</v>
      </c>
      <c r="F31">
        <v>0.33339999999999997</v>
      </c>
      <c r="G31" t="s">
        <v>3</v>
      </c>
      <c r="H31">
        <f>VLOOKUP($B31, 'Std Conc'!$A$2:$K$21, MATCH(G31, 'Std Conc'!$A$1:$K$1,0),FALSE)</f>
        <v>0</v>
      </c>
      <c r="I31">
        <v>100.51130000000001</v>
      </c>
      <c r="J31" t="s">
        <v>218</v>
      </c>
      <c r="K31">
        <f>VLOOKUP($B31, 'Std Conc'!$A$2:$K$21, MATCH(J31, 'Std Conc'!$A$1:$K$1,0),FALSE)</f>
        <v>0</v>
      </c>
      <c r="L31">
        <v>3287.6048000000001</v>
      </c>
      <c r="M31" t="s">
        <v>105</v>
      </c>
      <c r="N31">
        <f>VLOOKUP($B31, 'Std Conc'!$A$2:$K$21, MATCH(M31, 'Std Conc'!$A$1:$K$1,0),FALSE)</f>
        <v>0</v>
      </c>
      <c r="O31">
        <v>65.589799999999997</v>
      </c>
    </row>
    <row r="32" spans="1:15" x14ac:dyDescent="0.2">
      <c r="A32">
        <v>31</v>
      </c>
      <c r="B32" t="s">
        <v>221</v>
      </c>
      <c r="C32" t="s">
        <v>33</v>
      </c>
      <c r="D32" t="s">
        <v>1</v>
      </c>
      <c r="E32">
        <f>VLOOKUP($B32, 'Std Conc'!$A$2:$K$21, MATCH(D32, 'Std Conc'!$A$1:$K$1,0),FALSE)</f>
        <v>3.008</v>
      </c>
      <c r="F32">
        <v>0.65280000000000005</v>
      </c>
      <c r="G32" t="s">
        <v>3</v>
      </c>
      <c r="H32">
        <f>VLOOKUP($B32, 'Std Conc'!$A$2:$K$21, MATCH(G32, 'Std Conc'!$A$1:$K$1,0),FALSE)</f>
        <v>426.2</v>
      </c>
      <c r="I32">
        <v>171.66300000000001</v>
      </c>
      <c r="J32" t="s">
        <v>218</v>
      </c>
      <c r="K32">
        <f>VLOOKUP($B32, 'Std Conc'!$A$2:$K$21, MATCH(J32, 'Std Conc'!$A$1:$K$1,0),FALSE)</f>
        <v>240100</v>
      </c>
      <c r="L32">
        <v>3973.6605</v>
      </c>
      <c r="M32" t="s">
        <v>105</v>
      </c>
      <c r="N32">
        <f>VLOOKUP($B32, 'Std Conc'!$A$2:$K$21, MATCH(M32, 'Std Conc'!$A$1:$K$1,0),FALSE)</f>
        <v>0.379</v>
      </c>
      <c r="O32">
        <v>105.8222</v>
      </c>
    </row>
    <row r="33" spans="1:15" x14ac:dyDescent="0.2">
      <c r="A33">
        <v>32</v>
      </c>
      <c r="B33" t="s">
        <v>220</v>
      </c>
      <c r="C33" t="s">
        <v>34</v>
      </c>
      <c r="D33" t="s">
        <v>1</v>
      </c>
      <c r="E33">
        <f>VLOOKUP($B33, 'Std Conc'!$A$2:$K$21, MATCH(D33, 'Std Conc'!$A$1:$K$1,0),FALSE)</f>
        <v>0</v>
      </c>
      <c r="F33">
        <v>0.30320000000000003</v>
      </c>
      <c r="G33" t="s">
        <v>3</v>
      </c>
      <c r="H33">
        <f>VLOOKUP($B33, 'Std Conc'!$A$2:$K$21, MATCH(G33, 'Std Conc'!$A$1:$K$1,0),FALSE)</f>
        <v>0</v>
      </c>
      <c r="I33">
        <v>82.703999999999994</v>
      </c>
      <c r="J33" t="s">
        <v>218</v>
      </c>
      <c r="K33">
        <f>VLOOKUP($B33, 'Std Conc'!$A$2:$K$21, MATCH(J33, 'Std Conc'!$A$1:$K$1,0),FALSE)</f>
        <v>0</v>
      </c>
      <c r="L33">
        <v>3040.5718000000002</v>
      </c>
      <c r="M33" t="s">
        <v>105</v>
      </c>
      <c r="N33">
        <f>VLOOKUP($B33, 'Std Conc'!$A$2:$K$21, MATCH(M33, 'Std Conc'!$A$1:$K$1,0),FALSE)</f>
        <v>0</v>
      </c>
      <c r="O33">
        <v>56.8812</v>
      </c>
    </row>
    <row r="34" spans="1:15" x14ac:dyDescent="0.2">
      <c r="A34">
        <v>33</v>
      </c>
      <c r="B34" t="s">
        <v>223</v>
      </c>
      <c r="C34" t="s">
        <v>35</v>
      </c>
      <c r="D34" t="s">
        <v>1</v>
      </c>
      <c r="E34">
        <f>VLOOKUP($B34, 'Std Conc'!$A$2:$K$21, MATCH(D34, 'Std Conc'!$A$1:$K$1,0),FALSE)</f>
        <v>20.64</v>
      </c>
      <c r="F34">
        <v>4.6113999999999997</v>
      </c>
      <c r="G34" t="s">
        <v>3</v>
      </c>
      <c r="H34">
        <f>VLOOKUP($B34, 'Std Conc'!$A$2:$K$21, MATCH(G34, 'Std Conc'!$A$1:$K$1,0),FALSE)</f>
        <v>2013</v>
      </c>
      <c r="I34">
        <v>607.73500000000001</v>
      </c>
      <c r="J34" t="s">
        <v>218</v>
      </c>
      <c r="K34">
        <f>VLOOKUP($B34, 'Std Conc'!$A$2:$K$21, MATCH(J34, 'Std Conc'!$A$1:$K$1,0),FALSE)</f>
        <v>200500</v>
      </c>
      <c r="L34">
        <v>3622.2973999999999</v>
      </c>
      <c r="M34" t="s">
        <v>105</v>
      </c>
      <c r="N34">
        <f>VLOOKUP($B34, 'Std Conc'!$A$2:$K$21, MATCH(M34, 'Std Conc'!$A$1:$K$1,0),FALSE)</f>
        <v>0.495</v>
      </c>
      <c r="O34">
        <v>163.59119999999999</v>
      </c>
    </row>
    <row r="35" spans="1:15" x14ac:dyDescent="0.2">
      <c r="A35">
        <v>34</v>
      </c>
      <c r="B35" t="s">
        <v>220</v>
      </c>
      <c r="C35" t="s">
        <v>36</v>
      </c>
      <c r="D35" t="s">
        <v>1</v>
      </c>
      <c r="E35">
        <f>VLOOKUP($B35, 'Std Conc'!$A$2:$K$21, MATCH(D35, 'Std Conc'!$A$1:$K$1,0),FALSE)</f>
        <v>0</v>
      </c>
      <c r="F35">
        <v>0.36809999999999998</v>
      </c>
      <c r="G35" t="s">
        <v>3</v>
      </c>
      <c r="H35">
        <f>VLOOKUP($B35, 'Std Conc'!$A$2:$K$21, MATCH(G35, 'Std Conc'!$A$1:$K$1,0),FALSE)</f>
        <v>0</v>
      </c>
      <c r="I35">
        <v>113.83880000000001</v>
      </c>
      <c r="J35" t="s">
        <v>218</v>
      </c>
      <c r="K35">
        <f>VLOOKUP($B35, 'Std Conc'!$A$2:$K$21, MATCH(J35, 'Std Conc'!$A$1:$K$1,0),FALSE)</f>
        <v>0</v>
      </c>
      <c r="L35">
        <v>3436.4553999999998</v>
      </c>
      <c r="M35" t="s">
        <v>105</v>
      </c>
      <c r="N35">
        <f>VLOOKUP($B35, 'Std Conc'!$A$2:$K$21, MATCH(M35, 'Std Conc'!$A$1:$K$1,0),FALSE)</f>
        <v>0</v>
      </c>
      <c r="O35">
        <v>71.769800000000004</v>
      </c>
    </row>
    <row r="36" spans="1:15" x14ac:dyDescent="0.2">
      <c r="A36">
        <v>35</v>
      </c>
      <c r="B36" t="s">
        <v>224</v>
      </c>
      <c r="C36" t="s">
        <v>37</v>
      </c>
      <c r="D36" t="s">
        <v>1</v>
      </c>
      <c r="E36">
        <f>VLOOKUP($B36, 'Std Conc'!$A$2:$K$21, MATCH(D36, 'Std Conc'!$A$1:$K$1,0),FALSE)</f>
        <v>201.4</v>
      </c>
      <c r="F36">
        <v>46.722200000000001</v>
      </c>
      <c r="G36" t="s">
        <v>3</v>
      </c>
      <c r="H36">
        <f>VLOOKUP($B36, 'Std Conc'!$A$2:$K$21, MATCH(G36, 'Std Conc'!$A$1:$K$1,0),FALSE)</f>
        <v>4967</v>
      </c>
      <c r="I36">
        <v>1431.9007999999999</v>
      </c>
      <c r="J36" t="s">
        <v>218</v>
      </c>
      <c r="K36">
        <f>VLOOKUP($B36, 'Std Conc'!$A$2:$K$21, MATCH(J36, 'Std Conc'!$A$1:$K$1,0),FALSE)</f>
        <v>200700</v>
      </c>
      <c r="L36">
        <v>3779.8296</v>
      </c>
      <c r="M36" t="s">
        <v>105</v>
      </c>
      <c r="N36">
        <f>VLOOKUP($B36, 'Std Conc'!$A$2:$K$21, MATCH(M36, 'Std Conc'!$A$1:$K$1,0),FALSE)</f>
        <v>2.4900000000000002</v>
      </c>
      <c r="O36">
        <v>695.37929999999994</v>
      </c>
    </row>
    <row r="37" spans="1:15" x14ac:dyDescent="0.2">
      <c r="A37">
        <v>36</v>
      </c>
      <c r="B37" t="s">
        <v>220</v>
      </c>
      <c r="C37" t="s">
        <v>38</v>
      </c>
      <c r="D37" t="s">
        <v>1</v>
      </c>
      <c r="E37">
        <f>VLOOKUP($B37, 'Std Conc'!$A$2:$K$21, MATCH(D37, 'Std Conc'!$A$1:$K$1,0),FALSE)</f>
        <v>0</v>
      </c>
      <c r="F37">
        <v>0.34260000000000002</v>
      </c>
      <c r="G37" t="s">
        <v>3</v>
      </c>
      <c r="H37">
        <f>VLOOKUP($B37, 'Std Conc'!$A$2:$K$21, MATCH(G37, 'Std Conc'!$A$1:$K$1,0),FALSE)</f>
        <v>0</v>
      </c>
      <c r="I37">
        <v>94.351200000000006</v>
      </c>
      <c r="J37" t="s">
        <v>218</v>
      </c>
      <c r="K37">
        <f>VLOOKUP($B37, 'Std Conc'!$A$2:$K$21, MATCH(J37, 'Std Conc'!$A$1:$K$1,0),FALSE)</f>
        <v>0</v>
      </c>
      <c r="L37">
        <v>3170.4587999999999</v>
      </c>
      <c r="M37" t="s">
        <v>105</v>
      </c>
      <c r="N37">
        <f>VLOOKUP($B37, 'Std Conc'!$A$2:$K$21, MATCH(M37, 'Std Conc'!$A$1:$K$1,0),FALSE)</f>
        <v>0</v>
      </c>
      <c r="O37">
        <v>61.304000000000002</v>
      </c>
    </row>
    <row r="38" spans="1:15" x14ac:dyDescent="0.2">
      <c r="A38">
        <v>37</v>
      </c>
      <c r="B38" t="s">
        <v>225</v>
      </c>
      <c r="C38" t="s">
        <v>39</v>
      </c>
      <c r="D38" t="s">
        <v>1</v>
      </c>
      <c r="E38">
        <f>VLOOKUP($B38, 'Std Conc'!$A$2:$K$21, MATCH(D38, 'Std Conc'!$A$1:$K$1,0),FALSE)</f>
        <v>5029</v>
      </c>
      <c r="F38">
        <v>1156.5942</v>
      </c>
      <c r="G38" t="s">
        <v>3</v>
      </c>
      <c r="H38">
        <f>VLOOKUP($B38, 'Std Conc'!$A$2:$K$21, MATCH(G38, 'Std Conc'!$A$1:$K$1,0),FALSE)</f>
        <v>10080</v>
      </c>
      <c r="I38">
        <v>2763.1037999999999</v>
      </c>
      <c r="J38" t="s">
        <v>218</v>
      </c>
      <c r="K38">
        <f>VLOOKUP($B38, 'Std Conc'!$A$2:$K$21, MATCH(J38, 'Std Conc'!$A$1:$K$1,0),FALSE)</f>
        <v>202000</v>
      </c>
      <c r="L38">
        <v>3804.5131999999999</v>
      </c>
      <c r="M38" t="s">
        <v>105</v>
      </c>
      <c r="N38">
        <f>VLOOKUP($B38, 'Std Conc'!$A$2:$K$21, MATCH(M38, 'Std Conc'!$A$1:$K$1,0),FALSE)</f>
        <v>5</v>
      </c>
      <c r="O38">
        <v>1373.2383</v>
      </c>
    </row>
    <row r="39" spans="1:15" x14ac:dyDescent="0.2">
      <c r="A39">
        <v>38</v>
      </c>
      <c r="B39" t="s">
        <v>220</v>
      </c>
      <c r="C39" t="s">
        <v>40</v>
      </c>
      <c r="D39" t="s">
        <v>1</v>
      </c>
      <c r="E39">
        <f>VLOOKUP($B39, 'Std Conc'!$A$2:$K$21, MATCH(D39, 'Std Conc'!$A$1:$K$1,0),FALSE)</f>
        <v>0</v>
      </c>
      <c r="F39">
        <v>0.3024</v>
      </c>
      <c r="G39" t="s">
        <v>3</v>
      </c>
      <c r="H39">
        <f>VLOOKUP($B39, 'Std Conc'!$A$2:$K$21, MATCH(G39, 'Std Conc'!$A$1:$K$1,0),FALSE)</f>
        <v>0</v>
      </c>
      <c r="I39">
        <v>91.697400000000002</v>
      </c>
      <c r="J39" t="s">
        <v>218</v>
      </c>
      <c r="K39">
        <f>VLOOKUP($B39, 'Std Conc'!$A$2:$K$21, MATCH(J39, 'Std Conc'!$A$1:$K$1,0),FALSE)</f>
        <v>0</v>
      </c>
      <c r="L39">
        <v>3112.8009999999999</v>
      </c>
      <c r="M39" t="s">
        <v>105</v>
      </c>
      <c r="N39">
        <f>VLOOKUP($B39, 'Std Conc'!$A$2:$K$21, MATCH(M39, 'Std Conc'!$A$1:$K$1,0),FALSE)</f>
        <v>0</v>
      </c>
      <c r="O39">
        <v>61.119700000000002</v>
      </c>
    </row>
    <row r="40" spans="1:15" x14ac:dyDescent="0.2">
      <c r="A40">
        <v>39</v>
      </c>
      <c r="B40" t="s">
        <v>226</v>
      </c>
      <c r="C40" t="s">
        <v>41</v>
      </c>
      <c r="D40" t="s">
        <v>1</v>
      </c>
      <c r="E40">
        <f>VLOOKUP($B40, 'Std Conc'!$A$2:$K$21, MATCH(D40, 'Std Conc'!$A$1:$K$1,0),FALSE)</f>
        <v>60340</v>
      </c>
      <c r="F40">
        <v>9759.4382000000005</v>
      </c>
      <c r="G40" t="s">
        <v>3</v>
      </c>
      <c r="H40">
        <f>VLOOKUP($B40, 'Std Conc'!$A$2:$K$21, MATCH(G40, 'Std Conc'!$A$1:$K$1,0),FALSE)</f>
        <v>49990</v>
      </c>
      <c r="I40">
        <v>11935.251</v>
      </c>
      <c r="J40" t="s">
        <v>218</v>
      </c>
      <c r="K40">
        <f>VLOOKUP($B40, 'Std Conc'!$A$2:$K$21, MATCH(J40, 'Std Conc'!$A$1:$K$1,0),FALSE)</f>
        <v>0</v>
      </c>
      <c r="L40">
        <v>1240.4482</v>
      </c>
      <c r="M40" t="s">
        <v>105</v>
      </c>
      <c r="N40">
        <f>VLOOKUP($B40, 'Std Conc'!$A$2:$K$21, MATCH(M40, 'Std Conc'!$A$1:$K$1,0),FALSE)</f>
        <v>20</v>
      </c>
      <c r="O40">
        <v>4884.9441999999999</v>
      </c>
    </row>
    <row r="41" spans="1:15" x14ac:dyDescent="0.2">
      <c r="A41">
        <v>40</v>
      </c>
      <c r="B41" t="s">
        <v>220</v>
      </c>
      <c r="C41" t="s">
        <v>42</v>
      </c>
      <c r="D41" t="s">
        <v>1</v>
      </c>
      <c r="E41">
        <f>VLOOKUP($B41, 'Std Conc'!$A$2:$K$21, MATCH(D41, 'Std Conc'!$A$1:$K$1,0),FALSE)</f>
        <v>0</v>
      </c>
      <c r="F41">
        <v>0.66390000000000005</v>
      </c>
      <c r="G41" t="s">
        <v>3</v>
      </c>
      <c r="H41">
        <f>VLOOKUP($B41, 'Std Conc'!$A$2:$K$21, MATCH(G41, 'Std Conc'!$A$1:$K$1,0),FALSE)</f>
        <v>0</v>
      </c>
      <c r="I41">
        <v>96.959699999999998</v>
      </c>
      <c r="J41" t="s">
        <v>218</v>
      </c>
      <c r="K41">
        <f>VLOOKUP($B41, 'Std Conc'!$A$2:$K$21, MATCH(J41, 'Std Conc'!$A$1:$K$1,0),FALSE)</f>
        <v>0</v>
      </c>
      <c r="L41">
        <v>3160.1660999999999</v>
      </c>
      <c r="M41" t="s">
        <v>105</v>
      </c>
      <c r="N41">
        <f>VLOOKUP($B41, 'Std Conc'!$A$2:$K$21, MATCH(M41, 'Std Conc'!$A$1:$K$1,0),FALSE)</f>
        <v>0</v>
      </c>
      <c r="O41">
        <v>64.434799999999996</v>
      </c>
    </row>
    <row r="42" spans="1:15" x14ac:dyDescent="0.2">
      <c r="A42">
        <v>41</v>
      </c>
      <c r="B42" t="s">
        <v>220</v>
      </c>
      <c r="C42" t="s">
        <v>43</v>
      </c>
      <c r="D42" t="s">
        <v>1</v>
      </c>
      <c r="E42">
        <f>VLOOKUP($B42, 'Std Conc'!$A$2:$K$21, MATCH(D42, 'Std Conc'!$A$1:$K$1,0),FALSE)</f>
        <v>0</v>
      </c>
      <c r="F42">
        <v>0.35060000000000002</v>
      </c>
      <c r="G42" t="s">
        <v>3</v>
      </c>
      <c r="H42">
        <f>VLOOKUP($B42, 'Std Conc'!$A$2:$K$21, MATCH(G42, 'Std Conc'!$A$1:$K$1,0),FALSE)</f>
        <v>0</v>
      </c>
      <c r="I42">
        <v>85.244200000000006</v>
      </c>
      <c r="J42" t="s">
        <v>218</v>
      </c>
      <c r="K42">
        <f>VLOOKUP($B42, 'Std Conc'!$A$2:$K$21, MATCH(J42, 'Std Conc'!$A$1:$K$1,0),FALSE)</f>
        <v>0</v>
      </c>
      <c r="L42">
        <v>3043.8357999999998</v>
      </c>
      <c r="M42" t="s">
        <v>105</v>
      </c>
      <c r="N42">
        <f>VLOOKUP($B42, 'Std Conc'!$A$2:$K$21, MATCH(M42, 'Std Conc'!$A$1:$K$1,0),FALSE)</f>
        <v>0</v>
      </c>
      <c r="O42">
        <v>55.087600000000002</v>
      </c>
    </row>
    <row r="43" spans="1:15" x14ac:dyDescent="0.2">
      <c r="A43">
        <v>42</v>
      </c>
      <c r="B43" t="s">
        <v>220</v>
      </c>
      <c r="C43" t="s">
        <v>44</v>
      </c>
      <c r="D43" t="s">
        <v>1</v>
      </c>
      <c r="E43">
        <f>VLOOKUP($B43, 'Std Conc'!$A$2:$K$21, MATCH(D43, 'Std Conc'!$A$1:$K$1,0),FALSE)</f>
        <v>0</v>
      </c>
      <c r="F43">
        <v>0.33900000000000002</v>
      </c>
      <c r="G43" t="s">
        <v>3</v>
      </c>
      <c r="H43">
        <f>VLOOKUP($B43, 'Std Conc'!$A$2:$K$21, MATCH(G43, 'Std Conc'!$A$1:$K$1,0),FALSE)</f>
        <v>0</v>
      </c>
      <c r="I43">
        <v>83.067400000000006</v>
      </c>
      <c r="J43" t="s">
        <v>218</v>
      </c>
      <c r="K43">
        <f>VLOOKUP($B43, 'Std Conc'!$A$2:$K$21, MATCH(J43, 'Std Conc'!$A$1:$K$1,0),FALSE)</f>
        <v>0</v>
      </c>
      <c r="L43">
        <v>3033.1812</v>
      </c>
      <c r="M43" t="s">
        <v>105</v>
      </c>
      <c r="N43">
        <f>VLOOKUP($B43, 'Std Conc'!$A$2:$K$21, MATCH(M43, 'Std Conc'!$A$1:$K$1,0),FALSE)</f>
        <v>0</v>
      </c>
      <c r="O43">
        <v>56.005800000000001</v>
      </c>
    </row>
    <row r="44" spans="1:15" x14ac:dyDescent="0.2">
      <c r="A44">
        <v>43</v>
      </c>
      <c r="B44" t="s">
        <v>227</v>
      </c>
      <c r="C44" t="s">
        <v>45</v>
      </c>
      <c r="D44" t="s">
        <v>1</v>
      </c>
      <c r="E44">
        <f>VLOOKUP($B44, 'Std Conc'!$A$2:$K$21, MATCH(D44, 'Std Conc'!$A$1:$K$1,0),FALSE)</f>
        <v>0</v>
      </c>
      <c r="F44">
        <v>0</v>
      </c>
      <c r="G44" t="s">
        <v>3</v>
      </c>
      <c r="H44">
        <f>VLOOKUP($B44, 'Std Conc'!$A$2:$K$21, MATCH(G44, 'Std Conc'!$A$1:$K$1,0),FALSE)</f>
        <v>0</v>
      </c>
      <c r="I44">
        <v>11.295199999999999</v>
      </c>
      <c r="J44" t="s">
        <v>218</v>
      </c>
      <c r="K44">
        <f>VLOOKUP($B44, 'Std Conc'!$A$2:$K$21, MATCH(J44, 'Std Conc'!$A$1:$K$1,0),FALSE)</f>
        <v>0</v>
      </c>
      <c r="L44">
        <v>915.84100000000001</v>
      </c>
      <c r="M44" t="s">
        <v>105</v>
      </c>
      <c r="N44">
        <f>VLOOKUP($B44, 'Std Conc'!$A$2:$K$21, MATCH(M44, 'Std Conc'!$A$1:$K$1,0),FALSE)</f>
        <v>0</v>
      </c>
      <c r="O44">
        <v>4.8129999999999997</v>
      </c>
    </row>
    <row r="45" spans="1:15" x14ac:dyDescent="0.2">
      <c r="A45">
        <v>44</v>
      </c>
      <c r="B45" t="s">
        <v>220</v>
      </c>
      <c r="C45" t="s">
        <v>46</v>
      </c>
      <c r="D45" t="s">
        <v>1</v>
      </c>
      <c r="E45">
        <f>VLOOKUP($B45, 'Std Conc'!$A$2:$K$21, MATCH(D45, 'Std Conc'!$A$1:$K$1,0),FALSE)</f>
        <v>0</v>
      </c>
      <c r="F45">
        <v>0.35420000000000001</v>
      </c>
      <c r="G45" t="s">
        <v>3</v>
      </c>
      <c r="H45">
        <f>VLOOKUP($B45, 'Std Conc'!$A$2:$K$21, MATCH(G45, 'Std Conc'!$A$1:$K$1,0),FALSE)</f>
        <v>0</v>
      </c>
      <c r="I45">
        <v>91.253299999999996</v>
      </c>
      <c r="J45" t="s">
        <v>218</v>
      </c>
      <c r="K45">
        <f>VLOOKUP($B45, 'Std Conc'!$A$2:$K$21, MATCH(J45, 'Std Conc'!$A$1:$K$1,0),FALSE)</f>
        <v>0</v>
      </c>
      <c r="L45">
        <v>3132.6714999999999</v>
      </c>
      <c r="M45" t="s">
        <v>105</v>
      </c>
      <c r="N45">
        <f>VLOOKUP($B45, 'Std Conc'!$A$2:$K$21, MATCH(M45, 'Std Conc'!$A$1:$K$1,0),FALSE)</f>
        <v>0</v>
      </c>
      <c r="O45">
        <v>58.829000000000001</v>
      </c>
    </row>
    <row r="46" spans="1:15" x14ac:dyDescent="0.2">
      <c r="A46">
        <v>45</v>
      </c>
      <c r="B46" t="s">
        <v>231</v>
      </c>
      <c r="C46" t="s">
        <v>47</v>
      </c>
      <c r="D46" t="s">
        <v>1</v>
      </c>
      <c r="E46">
        <f>VLOOKUP($B46, 'Std Conc'!$A$2:$K$21, MATCH(D46, 'Std Conc'!$A$1:$K$1,0),FALSE)</f>
        <v>0.30000000000000004</v>
      </c>
      <c r="F46">
        <v>0.1396</v>
      </c>
      <c r="G46" t="s">
        <v>3</v>
      </c>
      <c r="H46">
        <f>VLOOKUP($B46, 'Std Conc'!$A$2:$K$21, MATCH(G46, 'Std Conc'!$A$1:$K$1,0),FALSE)</f>
        <v>69.166666666666671</v>
      </c>
      <c r="I46">
        <v>35.2515</v>
      </c>
      <c r="J46" t="s">
        <v>218</v>
      </c>
      <c r="K46">
        <f>VLOOKUP($B46, 'Std Conc'!$A$2:$K$21, MATCH(J46, 'Std Conc'!$A$1:$K$1,0),FALSE)</f>
        <v>34916.666666666664</v>
      </c>
      <c r="L46">
        <v>1834.2928999999999</v>
      </c>
      <c r="M46" t="s">
        <v>105</v>
      </c>
      <c r="N46">
        <f>VLOOKUP($B46, 'Std Conc'!$A$2:$K$21, MATCH(M46, 'Std Conc'!$A$1:$K$1,0),FALSE)</f>
        <v>5.4166666666666669E-2</v>
      </c>
      <c r="O46">
        <v>21.426400000000001</v>
      </c>
    </row>
    <row r="47" spans="1:15" x14ac:dyDescent="0.2">
      <c r="A47">
        <v>46</v>
      </c>
      <c r="B47" t="s">
        <v>220</v>
      </c>
      <c r="C47" t="s">
        <v>48</v>
      </c>
      <c r="D47" t="s">
        <v>1</v>
      </c>
      <c r="E47">
        <f>VLOOKUP($B47, 'Std Conc'!$A$2:$K$21, MATCH(D47, 'Std Conc'!$A$1:$K$1,0),FALSE)</f>
        <v>0</v>
      </c>
      <c r="F47">
        <v>0.31690000000000002</v>
      </c>
      <c r="G47" t="s">
        <v>3</v>
      </c>
      <c r="H47">
        <f>VLOOKUP($B47, 'Std Conc'!$A$2:$K$21, MATCH(G47, 'Std Conc'!$A$1:$K$1,0),FALSE)</f>
        <v>0</v>
      </c>
      <c r="I47">
        <v>89.961399999999998</v>
      </c>
      <c r="J47" t="s">
        <v>218</v>
      </c>
      <c r="K47">
        <f>VLOOKUP($B47, 'Std Conc'!$A$2:$K$21, MATCH(J47, 'Std Conc'!$A$1:$K$1,0),FALSE)</f>
        <v>0</v>
      </c>
      <c r="L47">
        <v>3084.7341000000001</v>
      </c>
      <c r="M47" t="s">
        <v>105</v>
      </c>
      <c r="N47">
        <f>VLOOKUP($B47, 'Std Conc'!$A$2:$K$21, MATCH(M47, 'Std Conc'!$A$1:$K$1,0),FALSE)</f>
        <v>0</v>
      </c>
      <c r="O47">
        <v>57.880800000000001</v>
      </c>
    </row>
    <row r="48" spans="1:15" x14ac:dyDescent="0.2">
      <c r="A48">
        <v>47</v>
      </c>
      <c r="B48" t="s">
        <v>228</v>
      </c>
      <c r="C48" t="s">
        <v>49</v>
      </c>
      <c r="D48" t="s">
        <v>1</v>
      </c>
      <c r="E48">
        <f>VLOOKUP($B48, 'Std Conc'!$A$2:$K$21, MATCH(D48, 'Std Conc'!$A$1:$K$1,0),FALSE)</f>
        <v>0.60000000000000009</v>
      </c>
      <c r="F48">
        <v>0.2175</v>
      </c>
      <c r="G48" t="s">
        <v>3</v>
      </c>
      <c r="H48">
        <f>VLOOKUP($B48, 'Std Conc'!$A$2:$K$21, MATCH(G48, 'Std Conc'!$A$1:$K$1,0),FALSE)</f>
        <v>138.33333333333334</v>
      </c>
      <c r="I48">
        <v>55.742800000000003</v>
      </c>
      <c r="J48" t="s">
        <v>218</v>
      </c>
      <c r="K48">
        <f>VLOOKUP($B48, 'Std Conc'!$A$2:$K$21, MATCH(J48, 'Std Conc'!$A$1:$K$1,0),FALSE)</f>
        <v>69833.333333333328</v>
      </c>
      <c r="L48">
        <v>2390.627</v>
      </c>
      <c r="M48" t="s">
        <v>105</v>
      </c>
      <c r="N48">
        <f>VLOOKUP($B48, 'Std Conc'!$A$2:$K$21, MATCH(M48, 'Std Conc'!$A$1:$K$1,0),FALSE)</f>
        <v>0.10833333333333334</v>
      </c>
      <c r="O48">
        <v>34.426600000000001</v>
      </c>
    </row>
    <row r="49" spans="1:15" x14ac:dyDescent="0.2">
      <c r="A49">
        <v>48</v>
      </c>
      <c r="B49" t="s">
        <v>220</v>
      </c>
      <c r="C49" t="s">
        <v>50</v>
      </c>
      <c r="D49" t="s">
        <v>1</v>
      </c>
      <c r="E49">
        <f>VLOOKUP($B49, 'Std Conc'!$A$2:$K$21, MATCH(D49, 'Std Conc'!$A$1:$K$1,0),FALSE)</f>
        <v>0</v>
      </c>
      <c r="F49">
        <v>0.33389999999999997</v>
      </c>
      <c r="G49" t="s">
        <v>3</v>
      </c>
      <c r="H49">
        <f>VLOOKUP($B49, 'Std Conc'!$A$2:$K$21, MATCH(G49, 'Std Conc'!$A$1:$K$1,0),FALSE)</f>
        <v>0</v>
      </c>
      <c r="I49">
        <v>85.299599999999998</v>
      </c>
      <c r="J49" t="s">
        <v>218</v>
      </c>
      <c r="K49">
        <f>VLOOKUP($B49, 'Std Conc'!$A$2:$K$21, MATCH(J49, 'Std Conc'!$A$1:$K$1,0),FALSE)</f>
        <v>0</v>
      </c>
      <c r="L49">
        <v>3052.8847000000001</v>
      </c>
      <c r="M49" t="s">
        <v>105</v>
      </c>
      <c r="N49">
        <f>VLOOKUP($B49, 'Std Conc'!$A$2:$K$21, MATCH(M49, 'Std Conc'!$A$1:$K$1,0),FALSE)</f>
        <v>0</v>
      </c>
      <c r="O49">
        <v>53.089399999999998</v>
      </c>
    </row>
    <row r="50" spans="1:15" x14ac:dyDescent="0.2">
      <c r="A50">
        <v>49</v>
      </c>
      <c r="B50" t="s">
        <v>232</v>
      </c>
      <c r="C50" t="s">
        <v>51</v>
      </c>
      <c r="D50" t="s">
        <v>1</v>
      </c>
      <c r="E50">
        <f>VLOOKUP($B50, 'Std Conc'!$A$2:$K$21, MATCH(D50, 'Std Conc'!$A$1:$K$1,0),FALSE)</f>
        <v>0.89999999999999991</v>
      </c>
      <c r="F50">
        <v>0.32090000000000002</v>
      </c>
      <c r="G50" t="s">
        <v>3</v>
      </c>
      <c r="H50">
        <f>VLOOKUP($B50, 'Std Conc'!$A$2:$K$21, MATCH(G50, 'Std Conc'!$A$1:$K$1,0),FALSE)</f>
        <v>207.5</v>
      </c>
      <c r="I50">
        <v>77.796499999999995</v>
      </c>
      <c r="J50" t="s">
        <v>218</v>
      </c>
      <c r="K50">
        <f>VLOOKUP($B50, 'Std Conc'!$A$2:$K$21, MATCH(J50, 'Std Conc'!$A$1:$K$1,0),FALSE)</f>
        <v>104750</v>
      </c>
      <c r="L50">
        <v>2778.5853999999999</v>
      </c>
      <c r="M50" t="s">
        <v>105</v>
      </c>
      <c r="N50">
        <f>VLOOKUP($B50, 'Std Conc'!$A$2:$K$21, MATCH(M50, 'Std Conc'!$A$1:$K$1,0),FALSE)</f>
        <v>0.16250000000000001</v>
      </c>
      <c r="O50">
        <v>50.606400000000001</v>
      </c>
    </row>
    <row r="51" spans="1:15" x14ac:dyDescent="0.2">
      <c r="A51">
        <v>50</v>
      </c>
      <c r="B51" t="s">
        <v>220</v>
      </c>
      <c r="C51" t="s">
        <v>52</v>
      </c>
      <c r="D51" t="s">
        <v>1</v>
      </c>
      <c r="E51">
        <f>VLOOKUP($B51, 'Std Conc'!$A$2:$K$21, MATCH(D51, 'Std Conc'!$A$1:$K$1,0),FALSE)</f>
        <v>0</v>
      </c>
      <c r="F51">
        <v>0.3523</v>
      </c>
      <c r="G51" t="s">
        <v>3</v>
      </c>
      <c r="H51">
        <f>VLOOKUP($B51, 'Std Conc'!$A$2:$K$21, MATCH(G51, 'Std Conc'!$A$1:$K$1,0),FALSE)</f>
        <v>0</v>
      </c>
      <c r="I51">
        <v>98.528700000000001</v>
      </c>
      <c r="J51" t="s">
        <v>218</v>
      </c>
      <c r="K51">
        <f>VLOOKUP($B51, 'Std Conc'!$A$2:$K$21, MATCH(J51, 'Std Conc'!$A$1:$K$1,0),FALSE)</f>
        <v>0</v>
      </c>
      <c r="L51">
        <v>3333.4515999999999</v>
      </c>
      <c r="M51" t="s">
        <v>105</v>
      </c>
      <c r="N51">
        <f>VLOOKUP($B51, 'Std Conc'!$A$2:$K$21, MATCH(M51, 'Std Conc'!$A$1:$K$1,0),FALSE)</f>
        <v>0</v>
      </c>
      <c r="O51">
        <v>65.631500000000003</v>
      </c>
    </row>
    <row r="52" spans="1:15" x14ac:dyDescent="0.2">
      <c r="A52">
        <v>51</v>
      </c>
      <c r="B52" t="s">
        <v>229</v>
      </c>
      <c r="C52" t="s">
        <v>53</v>
      </c>
      <c r="D52" t="s">
        <v>1</v>
      </c>
      <c r="E52">
        <f>VLOOKUP($B52, 'Std Conc'!$A$2:$K$21, MATCH(D52, 'Std Conc'!$A$1:$K$1,0),FALSE)</f>
        <v>1.2000000000000002</v>
      </c>
      <c r="F52">
        <v>0.37180000000000002</v>
      </c>
      <c r="G52" t="s">
        <v>3</v>
      </c>
      <c r="H52">
        <f>VLOOKUP($B52, 'Std Conc'!$A$2:$K$21, MATCH(G52, 'Std Conc'!$A$1:$K$1,0),FALSE)</f>
        <v>276.66666666666669</v>
      </c>
      <c r="I52">
        <v>99.141400000000004</v>
      </c>
      <c r="J52" t="s">
        <v>218</v>
      </c>
      <c r="K52">
        <f>VLOOKUP($B52, 'Std Conc'!$A$2:$K$21, MATCH(J52, 'Std Conc'!$A$1:$K$1,0),FALSE)</f>
        <v>139666.66666666666</v>
      </c>
      <c r="L52">
        <v>3264.2871</v>
      </c>
      <c r="M52" t="s">
        <v>105</v>
      </c>
      <c r="N52">
        <f>VLOOKUP($B52, 'Std Conc'!$A$2:$K$21, MATCH(M52, 'Std Conc'!$A$1:$K$1,0),FALSE)</f>
        <v>0.21666666666666667</v>
      </c>
      <c r="O52">
        <v>63.630400000000002</v>
      </c>
    </row>
    <row r="53" spans="1:15" x14ac:dyDescent="0.2">
      <c r="A53">
        <v>52</v>
      </c>
      <c r="B53" t="s">
        <v>220</v>
      </c>
      <c r="C53" t="s">
        <v>54</v>
      </c>
      <c r="D53" t="s">
        <v>1</v>
      </c>
      <c r="E53">
        <f>VLOOKUP($B53, 'Std Conc'!$A$2:$K$21, MATCH(D53, 'Std Conc'!$A$1:$K$1,0),FALSE)</f>
        <v>0</v>
      </c>
      <c r="F53">
        <v>0.35470000000000002</v>
      </c>
      <c r="G53" t="s">
        <v>3</v>
      </c>
      <c r="H53">
        <f>VLOOKUP($B53, 'Std Conc'!$A$2:$K$21, MATCH(G53, 'Std Conc'!$A$1:$K$1,0),FALSE)</f>
        <v>0</v>
      </c>
      <c r="I53">
        <v>88.192499999999995</v>
      </c>
      <c r="J53" t="s">
        <v>218</v>
      </c>
      <c r="K53">
        <f>VLOOKUP($B53, 'Std Conc'!$A$2:$K$21, MATCH(J53, 'Std Conc'!$A$1:$K$1,0),FALSE)</f>
        <v>0</v>
      </c>
      <c r="L53">
        <v>3169.5426000000002</v>
      </c>
      <c r="M53" t="s">
        <v>105</v>
      </c>
      <c r="N53">
        <f>VLOOKUP($B53, 'Std Conc'!$A$2:$K$21, MATCH(M53, 'Std Conc'!$A$1:$K$1,0),FALSE)</f>
        <v>0</v>
      </c>
      <c r="O53">
        <v>56.757199999999997</v>
      </c>
    </row>
    <row r="54" spans="1:15" x14ac:dyDescent="0.2">
      <c r="A54">
        <v>53</v>
      </c>
      <c r="B54" t="s">
        <v>233</v>
      </c>
      <c r="C54" t="s">
        <v>55</v>
      </c>
      <c r="D54" t="s">
        <v>1</v>
      </c>
      <c r="E54">
        <f>VLOOKUP($B54, 'Std Conc'!$A$2:$K$21, MATCH(D54, 'Std Conc'!$A$1:$K$1,0),FALSE)</f>
        <v>1.5</v>
      </c>
      <c r="F54">
        <v>0.47399999999999998</v>
      </c>
      <c r="G54" t="s">
        <v>3</v>
      </c>
      <c r="H54">
        <f>VLOOKUP($B54, 'Std Conc'!$A$2:$K$21, MATCH(G54, 'Std Conc'!$A$1:$K$1,0),FALSE)</f>
        <v>345.83333333333331</v>
      </c>
      <c r="I54">
        <v>114.974</v>
      </c>
      <c r="J54" t="s">
        <v>218</v>
      </c>
      <c r="K54">
        <f>VLOOKUP($B54, 'Std Conc'!$A$2:$K$21, MATCH(J54, 'Std Conc'!$A$1:$K$1,0),FALSE)</f>
        <v>174583.33333333334</v>
      </c>
      <c r="L54">
        <v>3489.7420000000002</v>
      </c>
      <c r="M54" t="s">
        <v>105</v>
      </c>
      <c r="N54">
        <f>VLOOKUP($B54, 'Std Conc'!$A$2:$K$21, MATCH(M54, 'Std Conc'!$A$1:$K$1,0),FALSE)</f>
        <v>0.27083333333333331</v>
      </c>
      <c r="O54">
        <v>75.39</v>
      </c>
    </row>
    <row r="55" spans="1:15" x14ac:dyDescent="0.2">
      <c r="A55">
        <v>54</v>
      </c>
      <c r="B55" t="s">
        <v>220</v>
      </c>
      <c r="C55" t="s">
        <v>56</v>
      </c>
      <c r="D55" t="s">
        <v>1</v>
      </c>
      <c r="E55">
        <f>VLOOKUP($B55, 'Std Conc'!$A$2:$K$21, MATCH(D55, 'Std Conc'!$A$1:$K$1,0),FALSE)</f>
        <v>0</v>
      </c>
      <c r="F55">
        <v>0.35239999999999999</v>
      </c>
      <c r="G55" t="s">
        <v>3</v>
      </c>
      <c r="H55">
        <f>VLOOKUP($B55, 'Std Conc'!$A$2:$K$21, MATCH(G55, 'Std Conc'!$A$1:$K$1,0),FALSE)</f>
        <v>0</v>
      </c>
      <c r="I55">
        <v>101.1888</v>
      </c>
      <c r="J55" t="s">
        <v>218</v>
      </c>
      <c r="K55">
        <f>VLOOKUP($B55, 'Std Conc'!$A$2:$K$21, MATCH(J55, 'Std Conc'!$A$1:$K$1,0),FALSE)</f>
        <v>0</v>
      </c>
      <c r="L55">
        <v>3285.3402000000001</v>
      </c>
      <c r="M55" t="s">
        <v>105</v>
      </c>
      <c r="N55">
        <f>VLOOKUP($B55, 'Std Conc'!$A$2:$K$21, MATCH(M55, 'Std Conc'!$A$1:$K$1,0),FALSE)</f>
        <v>0</v>
      </c>
      <c r="O55">
        <v>66.452399999999997</v>
      </c>
    </row>
    <row r="56" spans="1:15" x14ac:dyDescent="0.2">
      <c r="A56">
        <v>55</v>
      </c>
      <c r="B56" t="s">
        <v>230</v>
      </c>
      <c r="C56" t="s">
        <v>57</v>
      </c>
      <c r="D56" t="s">
        <v>1</v>
      </c>
      <c r="E56">
        <f>VLOOKUP($B56, 'Std Conc'!$A$2:$K$21, MATCH(D56, 'Std Conc'!$A$1:$K$1,0),FALSE)</f>
        <v>1.7999999999999998</v>
      </c>
      <c r="F56">
        <v>0.49</v>
      </c>
      <c r="G56" t="s">
        <v>3</v>
      </c>
      <c r="H56">
        <f>VLOOKUP($B56, 'Std Conc'!$A$2:$K$21, MATCH(G56, 'Std Conc'!$A$1:$K$1,0),FALSE)</f>
        <v>415</v>
      </c>
      <c r="I56">
        <v>137.46350000000001</v>
      </c>
      <c r="J56" t="s">
        <v>218</v>
      </c>
      <c r="K56">
        <f>VLOOKUP($B56, 'Std Conc'!$A$2:$K$21, MATCH(J56, 'Std Conc'!$A$1:$K$1,0),FALSE)</f>
        <v>209500</v>
      </c>
      <c r="L56">
        <v>3716.7166000000002</v>
      </c>
      <c r="M56" t="s">
        <v>105</v>
      </c>
      <c r="N56">
        <f>VLOOKUP($B56, 'Std Conc'!$A$2:$K$21, MATCH(M56, 'Std Conc'!$A$1:$K$1,0),FALSE)</f>
        <v>0.32500000000000001</v>
      </c>
      <c r="O56">
        <v>93.941800000000001</v>
      </c>
    </row>
    <row r="57" spans="1:15" x14ac:dyDescent="0.2">
      <c r="A57">
        <v>56</v>
      </c>
      <c r="B57" t="s">
        <v>220</v>
      </c>
      <c r="C57" t="s">
        <v>58</v>
      </c>
      <c r="D57" t="s">
        <v>1</v>
      </c>
      <c r="E57">
        <f>VLOOKUP($B57, 'Std Conc'!$A$2:$K$21, MATCH(D57, 'Std Conc'!$A$1:$K$1,0),FALSE)</f>
        <v>0</v>
      </c>
      <c r="F57">
        <v>0.40379999999999999</v>
      </c>
      <c r="G57" t="s">
        <v>3</v>
      </c>
      <c r="H57">
        <f>VLOOKUP($B57, 'Std Conc'!$A$2:$K$21, MATCH(G57, 'Std Conc'!$A$1:$K$1,0),FALSE)</f>
        <v>0</v>
      </c>
      <c r="I57">
        <v>107.63209999999999</v>
      </c>
      <c r="J57" t="s">
        <v>218</v>
      </c>
      <c r="K57">
        <f>VLOOKUP($B57, 'Std Conc'!$A$2:$K$21, MATCH(J57, 'Std Conc'!$A$1:$K$1,0),FALSE)</f>
        <v>0</v>
      </c>
      <c r="L57">
        <v>3428.1014</v>
      </c>
      <c r="M57" t="s">
        <v>105</v>
      </c>
      <c r="N57">
        <f>VLOOKUP($B57, 'Std Conc'!$A$2:$K$21, MATCH(M57, 'Std Conc'!$A$1:$K$1,0),FALSE)</f>
        <v>0</v>
      </c>
      <c r="O57">
        <v>74.522599999999997</v>
      </c>
    </row>
    <row r="58" spans="1:15" x14ac:dyDescent="0.2">
      <c r="A58">
        <v>57</v>
      </c>
      <c r="B58" t="s">
        <v>220</v>
      </c>
      <c r="C58" t="s">
        <v>59</v>
      </c>
      <c r="D58" t="s">
        <v>1</v>
      </c>
      <c r="E58">
        <f>VLOOKUP($B58, 'Std Conc'!$A$2:$K$21, MATCH(D58, 'Std Conc'!$A$1:$K$1,0),FALSE)</f>
        <v>0</v>
      </c>
      <c r="F58">
        <v>0.34279999999999999</v>
      </c>
      <c r="G58" t="s">
        <v>3</v>
      </c>
      <c r="H58">
        <f>VLOOKUP($B58, 'Std Conc'!$A$2:$K$21, MATCH(G58, 'Std Conc'!$A$1:$K$1,0),FALSE)</f>
        <v>0</v>
      </c>
      <c r="I58">
        <v>96.094399999999993</v>
      </c>
      <c r="J58" t="s">
        <v>218</v>
      </c>
      <c r="K58">
        <f>VLOOKUP($B58, 'Std Conc'!$A$2:$K$21, MATCH(J58, 'Std Conc'!$A$1:$K$1,0),FALSE)</f>
        <v>0</v>
      </c>
      <c r="L58">
        <v>3248.6296000000002</v>
      </c>
      <c r="M58" t="s">
        <v>105</v>
      </c>
      <c r="N58">
        <f>VLOOKUP($B58, 'Std Conc'!$A$2:$K$21, MATCH(M58, 'Std Conc'!$A$1:$K$1,0),FALSE)</f>
        <v>0</v>
      </c>
      <c r="O58">
        <v>67.206699999999998</v>
      </c>
    </row>
    <row r="59" spans="1:15" x14ac:dyDescent="0.2">
      <c r="A59">
        <v>58</v>
      </c>
      <c r="B59" t="s">
        <v>220</v>
      </c>
      <c r="C59" t="s">
        <v>60</v>
      </c>
      <c r="D59" t="s">
        <v>1</v>
      </c>
      <c r="E59">
        <f>VLOOKUP($B59, 'Std Conc'!$A$2:$K$21, MATCH(D59, 'Std Conc'!$A$1:$K$1,0),FALSE)</f>
        <v>0</v>
      </c>
      <c r="F59">
        <v>0.30869999999999997</v>
      </c>
      <c r="G59" t="s">
        <v>3</v>
      </c>
      <c r="H59">
        <f>VLOOKUP($B59, 'Std Conc'!$A$2:$K$21, MATCH(G59, 'Std Conc'!$A$1:$K$1,0),FALSE)</f>
        <v>0</v>
      </c>
      <c r="I59">
        <v>78.263300000000001</v>
      </c>
      <c r="J59" t="s">
        <v>218</v>
      </c>
      <c r="K59">
        <f>VLOOKUP($B59, 'Std Conc'!$A$2:$K$21, MATCH(J59, 'Std Conc'!$A$1:$K$1,0),FALSE)</f>
        <v>0</v>
      </c>
      <c r="L59">
        <v>2907.4463000000001</v>
      </c>
      <c r="M59" t="s">
        <v>105</v>
      </c>
      <c r="N59">
        <f>VLOOKUP($B59, 'Std Conc'!$A$2:$K$21, MATCH(M59, 'Std Conc'!$A$1:$K$1,0),FALSE)</f>
        <v>0</v>
      </c>
      <c r="O59">
        <v>51.684399999999997</v>
      </c>
    </row>
    <row r="60" spans="1:15" x14ac:dyDescent="0.2">
      <c r="A60">
        <v>59</v>
      </c>
      <c r="B60" t="s">
        <v>220</v>
      </c>
      <c r="C60" t="s">
        <v>61</v>
      </c>
      <c r="D60" t="s">
        <v>1</v>
      </c>
      <c r="E60">
        <f>VLOOKUP($B60, 'Std Conc'!$A$2:$K$21, MATCH(D60, 'Std Conc'!$A$1:$K$1,0),FALSE)</f>
        <v>0</v>
      </c>
      <c r="F60">
        <v>0.4</v>
      </c>
      <c r="G60" t="s">
        <v>3</v>
      </c>
      <c r="H60">
        <f>VLOOKUP($B60, 'Std Conc'!$A$2:$K$21, MATCH(G60, 'Std Conc'!$A$1:$K$1,0),FALSE)</f>
        <v>0</v>
      </c>
      <c r="I60">
        <v>101.9462</v>
      </c>
      <c r="J60" t="s">
        <v>218</v>
      </c>
      <c r="K60">
        <f>VLOOKUP($B60, 'Std Conc'!$A$2:$K$21, MATCH(J60, 'Std Conc'!$A$1:$K$1,0),FALSE)</f>
        <v>0</v>
      </c>
      <c r="L60">
        <v>3176.2168000000001</v>
      </c>
      <c r="M60" t="s">
        <v>105</v>
      </c>
      <c r="N60">
        <f>VLOOKUP($B60, 'Std Conc'!$A$2:$K$21, MATCH(M60, 'Std Conc'!$A$1:$K$1,0),FALSE)</f>
        <v>0</v>
      </c>
      <c r="O60">
        <v>67.531499999999994</v>
      </c>
    </row>
    <row r="61" spans="1:15" x14ac:dyDescent="0.2">
      <c r="A61">
        <v>60</v>
      </c>
      <c r="B61" t="s">
        <v>220</v>
      </c>
      <c r="C61" t="s">
        <v>62</v>
      </c>
      <c r="D61" t="s">
        <v>1</v>
      </c>
      <c r="E61">
        <f>VLOOKUP($B61, 'Std Conc'!$A$2:$K$21, MATCH(D61, 'Std Conc'!$A$1:$K$1,0),FALSE)</f>
        <v>0</v>
      </c>
      <c r="F61">
        <v>0.28320000000000001</v>
      </c>
      <c r="G61" t="s">
        <v>3</v>
      </c>
      <c r="H61">
        <f>VLOOKUP($B61, 'Std Conc'!$A$2:$K$21, MATCH(G61, 'Std Conc'!$A$1:$K$1,0),FALSE)</f>
        <v>0</v>
      </c>
      <c r="I61">
        <v>89.128200000000007</v>
      </c>
      <c r="J61" t="s">
        <v>218</v>
      </c>
      <c r="K61">
        <f>VLOOKUP($B61, 'Std Conc'!$A$2:$K$21, MATCH(J61, 'Std Conc'!$A$1:$K$1,0),FALSE)</f>
        <v>0</v>
      </c>
      <c r="L61">
        <v>3127.8015</v>
      </c>
      <c r="M61" t="s">
        <v>105</v>
      </c>
      <c r="N61">
        <f>VLOOKUP($B61, 'Std Conc'!$A$2:$K$21, MATCH(M61, 'Std Conc'!$A$1:$K$1,0),FALSE)</f>
        <v>0</v>
      </c>
      <c r="O61">
        <v>64.650300000000001</v>
      </c>
    </row>
    <row r="62" spans="1:15" x14ac:dyDescent="0.2">
      <c r="A62">
        <v>61</v>
      </c>
      <c r="B62" t="s">
        <v>234</v>
      </c>
      <c r="C62" t="s">
        <v>63</v>
      </c>
      <c r="D62" t="s">
        <v>1</v>
      </c>
      <c r="E62">
        <f>VLOOKUP($B62, 'Std Conc'!$A$2:$K$21, MATCH(D62, 'Std Conc'!$A$1:$K$1,0),FALSE)</f>
        <v>0</v>
      </c>
      <c r="F62">
        <v>0</v>
      </c>
      <c r="G62" t="s">
        <v>3</v>
      </c>
      <c r="H62">
        <f>VLOOKUP($B62, 'Std Conc'!$A$2:$K$21, MATCH(G62, 'Std Conc'!$A$1:$K$1,0),FALSE)</f>
        <v>0</v>
      </c>
      <c r="I62">
        <v>13.9597</v>
      </c>
      <c r="J62" t="s">
        <v>218</v>
      </c>
      <c r="K62">
        <f>VLOOKUP($B62, 'Std Conc'!$A$2:$K$21, MATCH(J62, 'Std Conc'!$A$1:$K$1,0),FALSE)</f>
        <v>0</v>
      </c>
      <c r="L62">
        <v>888.24390000000005</v>
      </c>
      <c r="M62" t="s">
        <v>105</v>
      </c>
      <c r="N62">
        <f>VLOOKUP($B62, 'Std Conc'!$A$2:$K$21, MATCH(M62, 'Std Conc'!$A$1:$K$1,0),FALSE)</f>
        <v>0</v>
      </c>
      <c r="O62">
        <v>5.0721999999999996</v>
      </c>
    </row>
    <row r="63" spans="1:15" x14ac:dyDescent="0.2">
      <c r="A63">
        <v>62</v>
      </c>
      <c r="B63" t="s">
        <v>220</v>
      </c>
      <c r="C63" t="s">
        <v>64</v>
      </c>
      <c r="D63" t="s">
        <v>1</v>
      </c>
      <c r="E63">
        <f>VLOOKUP($B63, 'Std Conc'!$A$2:$K$21, MATCH(D63, 'Std Conc'!$A$1:$K$1,0),FALSE)</f>
        <v>0</v>
      </c>
      <c r="F63">
        <v>0.32850000000000001</v>
      </c>
      <c r="G63" t="s">
        <v>3</v>
      </c>
      <c r="H63">
        <f>VLOOKUP($B63, 'Std Conc'!$A$2:$K$21, MATCH(G63, 'Std Conc'!$A$1:$K$1,0),FALSE)</f>
        <v>0</v>
      </c>
      <c r="I63">
        <v>86.299000000000007</v>
      </c>
      <c r="J63" t="s">
        <v>218</v>
      </c>
      <c r="K63">
        <f>VLOOKUP($B63, 'Std Conc'!$A$2:$K$21, MATCH(J63, 'Std Conc'!$A$1:$K$1,0),FALSE)</f>
        <v>0</v>
      </c>
      <c r="L63">
        <v>3096.3404</v>
      </c>
      <c r="M63" t="s">
        <v>105</v>
      </c>
      <c r="N63">
        <f>VLOOKUP($B63, 'Std Conc'!$A$2:$K$21, MATCH(M63, 'Std Conc'!$A$1:$K$1,0),FALSE)</f>
        <v>0</v>
      </c>
      <c r="O63">
        <v>56.360599999999998</v>
      </c>
    </row>
    <row r="64" spans="1:15" x14ac:dyDescent="0.2">
      <c r="A64">
        <v>63</v>
      </c>
      <c r="B64" t="s">
        <v>235</v>
      </c>
      <c r="C64" t="s">
        <v>65</v>
      </c>
      <c r="D64" t="s">
        <v>1</v>
      </c>
      <c r="E64">
        <f>VLOOKUP($B64, 'Std Conc'!$A$2:$K$21, MATCH(D64, 'Std Conc'!$A$1:$K$1,0),FALSE)</f>
        <v>0</v>
      </c>
      <c r="F64">
        <v>0</v>
      </c>
      <c r="G64" t="s">
        <v>3</v>
      </c>
      <c r="H64">
        <f>VLOOKUP($B64, 'Std Conc'!$A$2:$K$21, MATCH(G64, 'Std Conc'!$A$1:$K$1,0),FALSE)</f>
        <v>0</v>
      </c>
      <c r="I64">
        <v>10.7902</v>
      </c>
      <c r="J64" t="s">
        <v>218</v>
      </c>
      <c r="K64">
        <f>VLOOKUP($B64, 'Std Conc'!$A$2:$K$21, MATCH(J64, 'Std Conc'!$A$1:$K$1,0),FALSE)</f>
        <v>27777.777777777777</v>
      </c>
      <c r="L64">
        <v>1656.2248999999999</v>
      </c>
      <c r="M64" t="s">
        <v>105</v>
      </c>
      <c r="N64">
        <f>VLOOKUP($B64, 'Std Conc'!$A$2:$K$21, MATCH(M64, 'Std Conc'!$A$1:$K$1,0),FALSE)</f>
        <v>0</v>
      </c>
      <c r="O64">
        <v>4.9977</v>
      </c>
    </row>
    <row r="65" spans="1:15" x14ac:dyDescent="0.2">
      <c r="A65">
        <v>64</v>
      </c>
      <c r="B65" t="s">
        <v>220</v>
      </c>
      <c r="C65" t="s">
        <v>66</v>
      </c>
      <c r="D65" t="s">
        <v>1</v>
      </c>
      <c r="E65">
        <f>VLOOKUP($B65, 'Std Conc'!$A$2:$K$21, MATCH(D65, 'Std Conc'!$A$1:$K$1,0),FALSE)</f>
        <v>0</v>
      </c>
      <c r="F65">
        <v>0.308</v>
      </c>
      <c r="G65" t="s">
        <v>3</v>
      </c>
      <c r="H65">
        <f>VLOOKUP($B65, 'Std Conc'!$A$2:$K$21, MATCH(G65, 'Std Conc'!$A$1:$K$1,0),FALSE)</f>
        <v>0</v>
      </c>
      <c r="I65">
        <v>88.615200000000002</v>
      </c>
      <c r="J65" t="s">
        <v>218</v>
      </c>
      <c r="K65">
        <f>VLOOKUP($B65, 'Std Conc'!$A$2:$K$21, MATCH(J65, 'Std Conc'!$A$1:$K$1,0),FALSE)</f>
        <v>0</v>
      </c>
      <c r="L65">
        <v>3099.4259000000002</v>
      </c>
      <c r="M65" t="s">
        <v>105</v>
      </c>
      <c r="N65">
        <f>VLOOKUP($B65, 'Std Conc'!$A$2:$K$21, MATCH(M65, 'Std Conc'!$A$1:$K$1,0),FALSE)</f>
        <v>0</v>
      </c>
      <c r="O65">
        <v>57.816800000000001</v>
      </c>
    </row>
    <row r="66" spans="1:15" x14ac:dyDescent="0.2">
      <c r="A66">
        <v>65</v>
      </c>
      <c r="B66" t="s">
        <v>236</v>
      </c>
      <c r="C66" t="s">
        <v>67</v>
      </c>
      <c r="D66" t="s">
        <v>1</v>
      </c>
      <c r="E66">
        <f>VLOOKUP($B66, 'Std Conc'!$A$2:$K$21, MATCH(D66, 'Std Conc'!$A$1:$K$1,0),FALSE)</f>
        <v>0</v>
      </c>
      <c r="F66">
        <v>0</v>
      </c>
      <c r="G66" t="s">
        <v>3</v>
      </c>
      <c r="H66">
        <f>VLOOKUP($B66, 'Std Conc'!$A$2:$K$21, MATCH(G66, 'Std Conc'!$A$1:$K$1,0),FALSE)</f>
        <v>0</v>
      </c>
      <c r="I66">
        <v>11.0352</v>
      </c>
      <c r="J66" t="s">
        <v>218</v>
      </c>
      <c r="K66">
        <f>VLOOKUP($B66, 'Std Conc'!$A$2:$K$21, MATCH(J66, 'Std Conc'!$A$1:$K$1,0),FALSE)</f>
        <v>55555.555555555555</v>
      </c>
      <c r="L66">
        <v>2120.4117999999999</v>
      </c>
      <c r="M66" t="s">
        <v>105</v>
      </c>
      <c r="N66">
        <f>VLOOKUP($B66, 'Std Conc'!$A$2:$K$21, MATCH(M66, 'Std Conc'!$A$1:$K$1,0),FALSE)</f>
        <v>0</v>
      </c>
      <c r="O66">
        <v>7.9752000000000001</v>
      </c>
    </row>
    <row r="67" spans="1:15" x14ac:dyDescent="0.2">
      <c r="A67">
        <v>66</v>
      </c>
      <c r="B67" t="s">
        <v>220</v>
      </c>
      <c r="C67" t="s">
        <v>68</v>
      </c>
      <c r="D67" t="s">
        <v>1</v>
      </c>
      <c r="E67">
        <f>VLOOKUP($B67, 'Std Conc'!$A$2:$K$21, MATCH(D67, 'Std Conc'!$A$1:$K$1,0),FALSE)</f>
        <v>0</v>
      </c>
      <c r="F67">
        <v>0.30370000000000003</v>
      </c>
      <c r="G67" t="s">
        <v>3</v>
      </c>
      <c r="H67">
        <f>VLOOKUP($B67, 'Std Conc'!$A$2:$K$21, MATCH(G67, 'Std Conc'!$A$1:$K$1,0),FALSE)</f>
        <v>0</v>
      </c>
      <c r="I67">
        <v>82.586299999999994</v>
      </c>
      <c r="J67" t="s">
        <v>218</v>
      </c>
      <c r="K67">
        <f>VLOOKUP($B67, 'Std Conc'!$A$2:$K$21, MATCH(J67, 'Std Conc'!$A$1:$K$1,0),FALSE)</f>
        <v>0</v>
      </c>
      <c r="L67">
        <v>3089.3701999999998</v>
      </c>
      <c r="M67" t="s">
        <v>105</v>
      </c>
      <c r="N67">
        <f>VLOOKUP($B67, 'Std Conc'!$A$2:$K$21, MATCH(M67, 'Std Conc'!$A$1:$K$1,0),FALSE)</f>
        <v>0</v>
      </c>
      <c r="O67">
        <v>49.889000000000003</v>
      </c>
    </row>
    <row r="68" spans="1:15" x14ac:dyDescent="0.2">
      <c r="A68">
        <v>67</v>
      </c>
      <c r="B68" t="s">
        <v>237</v>
      </c>
      <c r="C68" t="s">
        <v>69</v>
      </c>
      <c r="D68" t="s">
        <v>1</v>
      </c>
      <c r="E68">
        <f>VLOOKUP($B68, 'Std Conc'!$A$2:$K$21, MATCH(D68, 'Std Conc'!$A$1:$K$1,0),FALSE)</f>
        <v>0</v>
      </c>
      <c r="F68">
        <v>0</v>
      </c>
      <c r="G68" t="s">
        <v>3</v>
      </c>
      <c r="H68">
        <f>VLOOKUP($B68, 'Std Conc'!$A$2:$K$21, MATCH(G68, 'Std Conc'!$A$1:$K$1,0),FALSE)</f>
        <v>0</v>
      </c>
      <c r="I68">
        <v>11.2407</v>
      </c>
      <c r="J68" t="s">
        <v>218</v>
      </c>
      <c r="K68">
        <f>VLOOKUP($B68, 'Std Conc'!$A$2:$K$21, MATCH(J68, 'Std Conc'!$A$1:$K$1,0),FALSE)</f>
        <v>111111.11111111111</v>
      </c>
      <c r="L68">
        <v>2885.2258999999999</v>
      </c>
      <c r="M68" t="s">
        <v>105</v>
      </c>
      <c r="N68">
        <f>VLOOKUP($B68, 'Std Conc'!$A$2:$K$21, MATCH(M68, 'Std Conc'!$A$1:$K$1,0),FALSE)</f>
        <v>0</v>
      </c>
      <c r="O68">
        <v>8.4201999999999995</v>
      </c>
    </row>
    <row r="69" spans="1:15" x14ac:dyDescent="0.2">
      <c r="A69">
        <v>68</v>
      </c>
      <c r="B69" t="s">
        <v>220</v>
      </c>
      <c r="C69" t="s">
        <v>70</v>
      </c>
      <c r="D69" t="s">
        <v>1</v>
      </c>
      <c r="E69">
        <f>VLOOKUP($B69, 'Std Conc'!$A$2:$K$21, MATCH(D69, 'Std Conc'!$A$1:$K$1,0),FALSE)</f>
        <v>0</v>
      </c>
      <c r="F69">
        <v>0.41860000000000003</v>
      </c>
      <c r="G69" t="s">
        <v>3</v>
      </c>
      <c r="H69">
        <f>VLOOKUP($B69, 'Std Conc'!$A$2:$K$21, MATCH(G69, 'Std Conc'!$A$1:$K$1,0),FALSE)</f>
        <v>0</v>
      </c>
      <c r="I69">
        <v>123.9372</v>
      </c>
      <c r="J69" t="s">
        <v>218</v>
      </c>
      <c r="K69">
        <f>VLOOKUP($B69, 'Std Conc'!$A$2:$K$21, MATCH(J69, 'Std Conc'!$A$1:$K$1,0),FALSE)</f>
        <v>0</v>
      </c>
      <c r="L69">
        <v>3576.9645999999998</v>
      </c>
      <c r="M69" t="s">
        <v>105</v>
      </c>
      <c r="N69">
        <f>VLOOKUP($B69, 'Std Conc'!$A$2:$K$21, MATCH(M69, 'Std Conc'!$A$1:$K$1,0),FALSE)</f>
        <v>0</v>
      </c>
      <c r="O69">
        <v>80.011499999999998</v>
      </c>
    </row>
    <row r="70" spans="1:15" x14ac:dyDescent="0.2">
      <c r="A70">
        <v>69</v>
      </c>
      <c r="B70" t="s">
        <v>238</v>
      </c>
      <c r="C70" t="s">
        <v>71</v>
      </c>
      <c r="D70" t="s">
        <v>1</v>
      </c>
      <c r="E70">
        <f>VLOOKUP($B70, 'Std Conc'!$A$2:$K$21, MATCH(D70, 'Std Conc'!$A$1:$K$1,0),FALSE)</f>
        <v>0</v>
      </c>
      <c r="F70">
        <v>0</v>
      </c>
      <c r="G70" t="s">
        <v>3</v>
      </c>
      <c r="H70">
        <f>VLOOKUP($B70, 'Std Conc'!$A$2:$K$21, MATCH(G70, 'Std Conc'!$A$1:$K$1,0),FALSE)</f>
        <v>0</v>
      </c>
      <c r="I70">
        <v>9.1587999999999994</v>
      </c>
      <c r="J70" t="s">
        <v>218</v>
      </c>
      <c r="K70">
        <f>VLOOKUP($B70, 'Std Conc'!$A$2:$K$21, MATCH(J70, 'Std Conc'!$A$1:$K$1,0),FALSE)</f>
        <v>166666.66666666666</v>
      </c>
      <c r="L70">
        <v>3494.6612</v>
      </c>
      <c r="M70" t="s">
        <v>105</v>
      </c>
      <c r="N70">
        <f>VLOOKUP($B70, 'Std Conc'!$A$2:$K$21, MATCH(M70, 'Std Conc'!$A$1:$K$1,0),FALSE)</f>
        <v>0</v>
      </c>
      <c r="O70">
        <v>5.5534999999999997</v>
      </c>
    </row>
    <row r="71" spans="1:15" x14ac:dyDescent="0.2">
      <c r="A71">
        <v>70</v>
      </c>
      <c r="B71" t="s">
        <v>220</v>
      </c>
      <c r="C71" t="s">
        <v>72</v>
      </c>
      <c r="D71" t="s">
        <v>1</v>
      </c>
      <c r="E71">
        <f>VLOOKUP($B71, 'Std Conc'!$A$2:$K$21, MATCH(D71, 'Std Conc'!$A$1:$K$1,0),FALSE)</f>
        <v>0</v>
      </c>
      <c r="F71">
        <v>0.34639999999999999</v>
      </c>
      <c r="G71" t="s">
        <v>3</v>
      </c>
      <c r="H71">
        <f>VLOOKUP($B71, 'Std Conc'!$A$2:$K$21, MATCH(G71, 'Std Conc'!$A$1:$K$1,0),FALSE)</f>
        <v>0</v>
      </c>
      <c r="I71">
        <v>97.621399999999994</v>
      </c>
      <c r="J71" t="s">
        <v>218</v>
      </c>
      <c r="K71">
        <f>VLOOKUP($B71, 'Std Conc'!$A$2:$K$21, MATCH(J71, 'Std Conc'!$A$1:$K$1,0),FALSE)</f>
        <v>0</v>
      </c>
      <c r="L71">
        <v>3290.78</v>
      </c>
      <c r="M71" t="s">
        <v>105</v>
      </c>
      <c r="N71">
        <f>VLOOKUP($B71, 'Std Conc'!$A$2:$K$21, MATCH(M71, 'Std Conc'!$A$1:$K$1,0),FALSE)</f>
        <v>0</v>
      </c>
      <c r="O71">
        <v>62.051699999999997</v>
      </c>
    </row>
    <row r="72" spans="1:15" x14ac:dyDescent="0.2">
      <c r="A72">
        <v>71</v>
      </c>
      <c r="B72" t="s">
        <v>220</v>
      </c>
      <c r="C72" t="s">
        <v>73</v>
      </c>
      <c r="D72" t="s">
        <v>1</v>
      </c>
      <c r="E72">
        <f>VLOOKUP($B72, 'Std Conc'!$A$2:$K$21, MATCH(D72, 'Std Conc'!$A$1:$K$1,0),FALSE)</f>
        <v>0</v>
      </c>
      <c r="F72">
        <v>0.35680000000000001</v>
      </c>
      <c r="G72" t="s">
        <v>3</v>
      </c>
      <c r="H72">
        <f>VLOOKUP($B72, 'Std Conc'!$A$2:$K$21, MATCH(G72, 'Std Conc'!$A$1:$K$1,0),FALSE)</f>
        <v>0</v>
      </c>
      <c r="I72">
        <v>101.9106</v>
      </c>
      <c r="J72" t="s">
        <v>218</v>
      </c>
      <c r="K72">
        <f>VLOOKUP($B72, 'Std Conc'!$A$2:$K$21, MATCH(J72, 'Std Conc'!$A$1:$K$1,0),FALSE)</f>
        <v>0</v>
      </c>
      <c r="L72">
        <v>3371.4333999999999</v>
      </c>
      <c r="M72" t="s">
        <v>105</v>
      </c>
      <c r="N72">
        <f>VLOOKUP($B72, 'Std Conc'!$A$2:$K$21, MATCH(M72, 'Std Conc'!$A$1:$K$1,0),FALSE)</f>
        <v>0</v>
      </c>
      <c r="O72">
        <v>65.498699999999999</v>
      </c>
    </row>
    <row r="73" spans="1:15" x14ac:dyDescent="0.2">
      <c r="A73">
        <v>72</v>
      </c>
      <c r="B73" t="s">
        <v>220</v>
      </c>
      <c r="C73" t="s">
        <v>74</v>
      </c>
      <c r="D73" t="s">
        <v>1</v>
      </c>
      <c r="E73">
        <f>VLOOKUP($B73, 'Std Conc'!$A$2:$K$21, MATCH(D73, 'Std Conc'!$A$1:$K$1,0),FALSE)</f>
        <v>0</v>
      </c>
      <c r="F73">
        <v>0.3538</v>
      </c>
      <c r="G73" t="s">
        <v>3</v>
      </c>
      <c r="H73">
        <f>VLOOKUP($B73, 'Std Conc'!$A$2:$K$21, MATCH(G73, 'Std Conc'!$A$1:$K$1,0),FALSE)</f>
        <v>0</v>
      </c>
      <c r="I73">
        <v>94.256799999999998</v>
      </c>
      <c r="J73" t="s">
        <v>218</v>
      </c>
      <c r="K73">
        <f>VLOOKUP($B73, 'Std Conc'!$A$2:$K$21, MATCH(J73, 'Std Conc'!$A$1:$K$1,0),FALSE)</f>
        <v>0</v>
      </c>
      <c r="L73">
        <v>3091.5128</v>
      </c>
      <c r="M73" t="s">
        <v>105</v>
      </c>
      <c r="N73">
        <f>VLOOKUP($B73, 'Std Conc'!$A$2:$K$21, MATCH(M73, 'Std Conc'!$A$1:$K$1,0),FALSE)</f>
        <v>0</v>
      </c>
      <c r="O73">
        <v>63.225200000000001</v>
      </c>
    </row>
    <row r="74" spans="1:15" x14ac:dyDescent="0.2">
      <c r="A74">
        <v>73</v>
      </c>
      <c r="B74" t="s">
        <v>227</v>
      </c>
      <c r="C74" t="s">
        <v>75</v>
      </c>
      <c r="D74" t="s">
        <v>1</v>
      </c>
      <c r="E74">
        <f>VLOOKUP($B74, 'Std Conc'!$A$2:$K$21, MATCH(D74, 'Std Conc'!$A$1:$K$1,0),FALSE)</f>
        <v>0</v>
      </c>
      <c r="F74">
        <v>0</v>
      </c>
      <c r="G74" t="s">
        <v>3</v>
      </c>
      <c r="H74">
        <f>VLOOKUP($B74, 'Std Conc'!$A$2:$K$21, MATCH(G74, 'Std Conc'!$A$1:$K$1,0),FALSE)</f>
        <v>0</v>
      </c>
      <c r="I74">
        <v>10.415900000000001</v>
      </c>
      <c r="J74" t="s">
        <v>218</v>
      </c>
      <c r="K74">
        <f>VLOOKUP($B74, 'Std Conc'!$A$2:$K$21, MATCH(J74, 'Std Conc'!$A$1:$K$1,0),FALSE)</f>
        <v>0</v>
      </c>
      <c r="L74">
        <v>932.02560000000005</v>
      </c>
      <c r="M74" t="s">
        <v>105</v>
      </c>
      <c r="N74">
        <f>VLOOKUP($B74, 'Std Conc'!$A$2:$K$21, MATCH(M74, 'Std Conc'!$A$1:$K$1,0),FALSE)</f>
        <v>0</v>
      </c>
      <c r="O74">
        <v>6.4603999999999999</v>
      </c>
    </row>
    <row r="75" spans="1:15" x14ac:dyDescent="0.2">
      <c r="A75">
        <v>74</v>
      </c>
      <c r="B75" t="s">
        <v>220</v>
      </c>
      <c r="C75" t="s">
        <v>76</v>
      </c>
      <c r="D75" t="s">
        <v>1</v>
      </c>
      <c r="E75">
        <f>VLOOKUP($B75, 'Std Conc'!$A$2:$K$21, MATCH(D75, 'Std Conc'!$A$1:$K$1,0),FALSE)</f>
        <v>0</v>
      </c>
      <c r="F75">
        <v>0.34560000000000002</v>
      </c>
      <c r="G75" t="s">
        <v>3</v>
      </c>
      <c r="H75">
        <f>VLOOKUP($B75, 'Std Conc'!$A$2:$K$21, MATCH(G75, 'Std Conc'!$A$1:$K$1,0),FALSE)</f>
        <v>0</v>
      </c>
      <c r="I75">
        <v>86.587999999999994</v>
      </c>
      <c r="J75" t="s">
        <v>218</v>
      </c>
      <c r="K75">
        <f>VLOOKUP($B75, 'Std Conc'!$A$2:$K$21, MATCH(J75, 'Std Conc'!$A$1:$K$1,0),FALSE)</f>
        <v>0</v>
      </c>
      <c r="L75">
        <v>3051.8824</v>
      </c>
      <c r="M75" t="s">
        <v>105</v>
      </c>
      <c r="N75">
        <f>VLOOKUP($B75, 'Std Conc'!$A$2:$K$21, MATCH(M75, 'Std Conc'!$A$1:$K$1,0),FALSE)</f>
        <v>0</v>
      </c>
      <c r="O75">
        <v>52.705399999999997</v>
      </c>
    </row>
    <row r="76" spans="1:15" x14ac:dyDescent="0.2">
      <c r="A76">
        <v>75</v>
      </c>
      <c r="B76" t="s">
        <v>231</v>
      </c>
      <c r="C76" t="s">
        <v>77</v>
      </c>
      <c r="D76" t="s">
        <v>1</v>
      </c>
      <c r="E76">
        <f>VLOOKUP($B76, 'Std Conc'!$A$2:$K$21, MATCH(D76, 'Std Conc'!$A$1:$K$1,0),FALSE)</f>
        <v>0.30000000000000004</v>
      </c>
      <c r="F76">
        <v>0.1522</v>
      </c>
      <c r="G76" t="s">
        <v>3</v>
      </c>
      <c r="H76">
        <f>VLOOKUP($B76, 'Std Conc'!$A$2:$K$21, MATCH(G76, 'Std Conc'!$A$1:$K$1,0),FALSE)</f>
        <v>69.166666666666671</v>
      </c>
      <c r="I76">
        <v>34.2288</v>
      </c>
      <c r="J76" t="s">
        <v>218</v>
      </c>
      <c r="K76">
        <f>VLOOKUP($B76, 'Std Conc'!$A$2:$K$21, MATCH(J76, 'Std Conc'!$A$1:$K$1,0),FALSE)</f>
        <v>34916.666666666664</v>
      </c>
      <c r="L76">
        <v>1846.8723</v>
      </c>
      <c r="M76" t="s">
        <v>105</v>
      </c>
      <c r="N76">
        <f>VLOOKUP($B76, 'Std Conc'!$A$2:$K$21, MATCH(M76, 'Std Conc'!$A$1:$K$1,0),FALSE)</f>
        <v>5.4166666666666669E-2</v>
      </c>
      <c r="O76">
        <v>19.209399999999999</v>
      </c>
    </row>
    <row r="77" spans="1:15" x14ac:dyDescent="0.2">
      <c r="A77">
        <v>76</v>
      </c>
      <c r="B77" t="s">
        <v>220</v>
      </c>
      <c r="C77" t="s">
        <v>78</v>
      </c>
      <c r="D77" t="s">
        <v>1</v>
      </c>
      <c r="E77">
        <f>VLOOKUP($B77, 'Std Conc'!$A$2:$K$21, MATCH(D77, 'Std Conc'!$A$1:$K$1,0),FALSE)</f>
        <v>0</v>
      </c>
      <c r="F77">
        <v>0.41920000000000002</v>
      </c>
      <c r="G77" t="s">
        <v>3</v>
      </c>
      <c r="H77">
        <f>VLOOKUP($B77, 'Std Conc'!$A$2:$K$21, MATCH(G77, 'Std Conc'!$A$1:$K$1,0),FALSE)</f>
        <v>0</v>
      </c>
      <c r="I77">
        <v>103.2186</v>
      </c>
      <c r="J77" t="s">
        <v>218</v>
      </c>
      <c r="K77">
        <f>VLOOKUP($B77, 'Std Conc'!$A$2:$K$21, MATCH(J77, 'Std Conc'!$A$1:$K$1,0),FALSE)</f>
        <v>0</v>
      </c>
      <c r="L77">
        <v>3270.3069999999998</v>
      </c>
      <c r="M77" t="s">
        <v>105</v>
      </c>
      <c r="N77">
        <f>VLOOKUP($B77, 'Std Conc'!$A$2:$K$21, MATCH(M77, 'Std Conc'!$A$1:$K$1,0),FALSE)</f>
        <v>0</v>
      </c>
      <c r="O77">
        <v>69.677999999999997</v>
      </c>
    </row>
    <row r="78" spans="1:15" x14ac:dyDescent="0.2">
      <c r="A78">
        <v>77</v>
      </c>
      <c r="B78" t="s">
        <v>228</v>
      </c>
      <c r="C78" t="s">
        <v>79</v>
      </c>
      <c r="D78" t="s">
        <v>1</v>
      </c>
      <c r="E78">
        <f>VLOOKUP($B78, 'Std Conc'!$A$2:$K$21, MATCH(D78, 'Std Conc'!$A$1:$K$1,0),FALSE)</f>
        <v>0.60000000000000009</v>
      </c>
      <c r="F78">
        <v>0.21029999999999999</v>
      </c>
      <c r="G78" t="s">
        <v>3</v>
      </c>
      <c r="H78">
        <f>VLOOKUP($B78, 'Std Conc'!$A$2:$K$21, MATCH(G78, 'Std Conc'!$A$1:$K$1,0),FALSE)</f>
        <v>138.33333333333334</v>
      </c>
      <c r="I78">
        <v>53.994</v>
      </c>
      <c r="J78" t="s">
        <v>218</v>
      </c>
      <c r="K78">
        <f>VLOOKUP($B78, 'Std Conc'!$A$2:$K$21, MATCH(J78, 'Std Conc'!$A$1:$K$1,0),FALSE)</f>
        <v>69833.333333333328</v>
      </c>
      <c r="L78">
        <v>2293.5387999999998</v>
      </c>
      <c r="M78" t="s">
        <v>105</v>
      </c>
      <c r="N78">
        <f>VLOOKUP($B78, 'Std Conc'!$A$2:$K$21, MATCH(M78, 'Std Conc'!$A$1:$K$1,0),FALSE)</f>
        <v>0.10833333333333334</v>
      </c>
      <c r="O78">
        <v>36.027099999999997</v>
      </c>
    </row>
    <row r="79" spans="1:15" x14ac:dyDescent="0.2">
      <c r="A79">
        <v>78</v>
      </c>
      <c r="B79" t="s">
        <v>220</v>
      </c>
      <c r="C79" t="s">
        <v>80</v>
      </c>
      <c r="D79" t="s">
        <v>1</v>
      </c>
      <c r="E79">
        <f>VLOOKUP($B79, 'Std Conc'!$A$2:$K$21, MATCH(D79, 'Std Conc'!$A$1:$K$1,0),FALSE)</f>
        <v>0</v>
      </c>
      <c r="F79">
        <v>0.32169999999999999</v>
      </c>
      <c r="G79" t="s">
        <v>3</v>
      </c>
      <c r="H79">
        <f>VLOOKUP($B79, 'Std Conc'!$A$2:$K$21, MATCH(G79, 'Std Conc'!$A$1:$K$1,0),FALSE)</f>
        <v>0</v>
      </c>
      <c r="I79">
        <v>89.021000000000001</v>
      </c>
      <c r="J79" t="s">
        <v>218</v>
      </c>
      <c r="K79">
        <f>VLOOKUP($B79, 'Std Conc'!$A$2:$K$21, MATCH(J79, 'Std Conc'!$A$1:$K$1,0),FALSE)</f>
        <v>0</v>
      </c>
      <c r="L79">
        <v>3113.6203999999998</v>
      </c>
      <c r="M79" t="s">
        <v>105</v>
      </c>
      <c r="N79">
        <f>VLOOKUP($B79, 'Std Conc'!$A$2:$K$21, MATCH(M79, 'Std Conc'!$A$1:$K$1,0),FALSE)</f>
        <v>0</v>
      </c>
      <c r="O79">
        <v>59.3508</v>
      </c>
    </row>
    <row r="80" spans="1:15" x14ac:dyDescent="0.2">
      <c r="A80">
        <v>79</v>
      </c>
      <c r="B80" t="s">
        <v>232</v>
      </c>
      <c r="C80" t="s">
        <v>81</v>
      </c>
      <c r="D80" t="s">
        <v>1</v>
      </c>
      <c r="E80">
        <f>VLOOKUP($B80, 'Std Conc'!$A$2:$K$21, MATCH(D80, 'Std Conc'!$A$1:$K$1,0),FALSE)</f>
        <v>0.89999999999999991</v>
      </c>
      <c r="F80">
        <v>0.30640000000000001</v>
      </c>
      <c r="G80" t="s">
        <v>3</v>
      </c>
      <c r="H80">
        <f>VLOOKUP($B80, 'Std Conc'!$A$2:$K$21, MATCH(G80, 'Std Conc'!$A$1:$K$1,0),FALSE)</f>
        <v>207.5</v>
      </c>
      <c r="I80">
        <v>81.463099999999997</v>
      </c>
      <c r="J80" t="s">
        <v>218</v>
      </c>
      <c r="K80">
        <f>VLOOKUP($B80, 'Std Conc'!$A$2:$K$21, MATCH(J80, 'Std Conc'!$A$1:$K$1,0),FALSE)</f>
        <v>104750</v>
      </c>
      <c r="L80">
        <v>2780.6727000000001</v>
      </c>
      <c r="M80" t="s">
        <v>105</v>
      </c>
      <c r="N80">
        <f>VLOOKUP($B80, 'Std Conc'!$A$2:$K$21, MATCH(M80, 'Std Conc'!$A$1:$K$1,0),FALSE)</f>
        <v>0.16250000000000001</v>
      </c>
      <c r="O80">
        <v>51.624299999999998</v>
      </c>
    </row>
    <row r="81" spans="1:15" x14ac:dyDescent="0.2">
      <c r="A81">
        <v>80</v>
      </c>
      <c r="B81" t="s">
        <v>220</v>
      </c>
      <c r="C81" t="s">
        <v>82</v>
      </c>
      <c r="D81" t="s">
        <v>1</v>
      </c>
      <c r="E81">
        <f>VLOOKUP($B81, 'Std Conc'!$A$2:$K$21, MATCH(D81, 'Std Conc'!$A$1:$K$1,0),FALSE)</f>
        <v>0</v>
      </c>
      <c r="F81">
        <v>0.34899999999999998</v>
      </c>
      <c r="G81" t="s">
        <v>3</v>
      </c>
      <c r="H81">
        <f>VLOOKUP($B81, 'Std Conc'!$A$2:$K$21, MATCH(G81, 'Std Conc'!$A$1:$K$1,0),FALSE)</f>
        <v>0</v>
      </c>
      <c r="I81">
        <v>98.411600000000007</v>
      </c>
      <c r="J81" t="s">
        <v>218</v>
      </c>
      <c r="K81">
        <f>VLOOKUP($B81, 'Std Conc'!$A$2:$K$21, MATCH(J81, 'Std Conc'!$A$1:$K$1,0),FALSE)</f>
        <v>0</v>
      </c>
      <c r="L81">
        <v>3174.0236</v>
      </c>
      <c r="M81" t="s">
        <v>105</v>
      </c>
      <c r="N81">
        <f>VLOOKUP($B81, 'Std Conc'!$A$2:$K$21, MATCH(M81, 'Std Conc'!$A$1:$K$1,0),FALSE)</f>
        <v>0</v>
      </c>
      <c r="O81">
        <v>64.854100000000003</v>
      </c>
    </row>
    <row r="82" spans="1:15" x14ac:dyDescent="0.2">
      <c r="A82">
        <v>81</v>
      </c>
      <c r="B82" t="s">
        <v>229</v>
      </c>
      <c r="C82" t="s">
        <v>83</v>
      </c>
      <c r="D82" t="s">
        <v>1</v>
      </c>
      <c r="E82">
        <f>VLOOKUP($B82, 'Std Conc'!$A$2:$K$21, MATCH(D82, 'Std Conc'!$A$1:$K$1,0),FALSE)</f>
        <v>1.2000000000000002</v>
      </c>
      <c r="F82">
        <v>0.38300000000000001</v>
      </c>
      <c r="G82" t="s">
        <v>3</v>
      </c>
      <c r="H82">
        <f>VLOOKUP($B82, 'Std Conc'!$A$2:$K$21, MATCH(G82, 'Std Conc'!$A$1:$K$1,0),FALSE)</f>
        <v>276.66666666666669</v>
      </c>
      <c r="I82">
        <v>101.49679999999999</v>
      </c>
      <c r="J82" t="s">
        <v>218</v>
      </c>
      <c r="K82">
        <f>VLOOKUP($B82, 'Std Conc'!$A$2:$K$21, MATCH(J82, 'Std Conc'!$A$1:$K$1,0),FALSE)</f>
        <v>139666.66666666666</v>
      </c>
      <c r="L82">
        <v>3212.7058000000002</v>
      </c>
      <c r="M82" t="s">
        <v>105</v>
      </c>
      <c r="N82">
        <f>VLOOKUP($B82, 'Std Conc'!$A$2:$K$21, MATCH(M82, 'Std Conc'!$A$1:$K$1,0),FALSE)</f>
        <v>0.21666666666666667</v>
      </c>
      <c r="O82">
        <v>65.927099999999996</v>
      </c>
    </row>
    <row r="83" spans="1:15" x14ac:dyDescent="0.2">
      <c r="A83">
        <v>82</v>
      </c>
      <c r="B83" t="s">
        <v>220</v>
      </c>
      <c r="C83" t="s">
        <v>84</v>
      </c>
      <c r="D83" t="s">
        <v>1</v>
      </c>
      <c r="E83">
        <f>VLOOKUP($B83, 'Std Conc'!$A$2:$K$21, MATCH(D83, 'Std Conc'!$A$1:$K$1,0),FALSE)</f>
        <v>0</v>
      </c>
      <c r="F83">
        <v>0.32390000000000002</v>
      </c>
      <c r="G83" t="s">
        <v>3</v>
      </c>
      <c r="H83">
        <f>VLOOKUP($B83, 'Std Conc'!$A$2:$K$21, MATCH(G83, 'Std Conc'!$A$1:$K$1,0),FALSE)</f>
        <v>0</v>
      </c>
      <c r="I83">
        <v>88.744399999999999</v>
      </c>
      <c r="J83" t="s">
        <v>218</v>
      </c>
      <c r="K83">
        <f>VLOOKUP($B83, 'Std Conc'!$A$2:$K$21, MATCH(J83, 'Std Conc'!$A$1:$K$1,0),FALSE)</f>
        <v>0</v>
      </c>
      <c r="L83">
        <v>3064.3987999999999</v>
      </c>
      <c r="M83" t="s">
        <v>105</v>
      </c>
      <c r="N83">
        <f>VLOOKUP($B83, 'Std Conc'!$A$2:$K$21, MATCH(M83, 'Std Conc'!$A$1:$K$1,0),FALSE)</f>
        <v>0</v>
      </c>
      <c r="O83">
        <v>60.067799999999998</v>
      </c>
    </row>
    <row r="84" spans="1:15" x14ac:dyDescent="0.2">
      <c r="A84">
        <v>83</v>
      </c>
      <c r="B84" t="s">
        <v>233</v>
      </c>
      <c r="C84" t="s">
        <v>85</v>
      </c>
      <c r="D84" t="s">
        <v>1</v>
      </c>
      <c r="E84">
        <f>VLOOKUP($B84, 'Std Conc'!$A$2:$K$21, MATCH(D84, 'Std Conc'!$A$1:$K$1,0),FALSE)</f>
        <v>1.5</v>
      </c>
      <c r="F84">
        <v>0.42680000000000001</v>
      </c>
      <c r="G84" t="s">
        <v>3</v>
      </c>
      <c r="H84">
        <f>VLOOKUP($B84, 'Std Conc'!$A$2:$K$21, MATCH(G84, 'Std Conc'!$A$1:$K$1,0),FALSE)</f>
        <v>345.83333333333331</v>
      </c>
      <c r="I84">
        <v>120.5926</v>
      </c>
      <c r="J84" t="s">
        <v>218</v>
      </c>
      <c r="K84">
        <f>VLOOKUP($B84, 'Std Conc'!$A$2:$K$21, MATCH(J84, 'Std Conc'!$A$1:$K$1,0),FALSE)</f>
        <v>174583.33333333334</v>
      </c>
      <c r="L84">
        <v>3380.2003</v>
      </c>
      <c r="M84" t="s">
        <v>105</v>
      </c>
      <c r="N84">
        <f>VLOOKUP($B84, 'Std Conc'!$A$2:$K$21, MATCH(M84, 'Std Conc'!$A$1:$K$1,0),FALSE)</f>
        <v>0.27083333333333331</v>
      </c>
      <c r="O84">
        <v>76.516800000000003</v>
      </c>
    </row>
    <row r="85" spans="1:15" x14ac:dyDescent="0.2">
      <c r="A85">
        <v>84</v>
      </c>
      <c r="B85" t="s">
        <v>220</v>
      </c>
      <c r="C85" t="s">
        <v>86</v>
      </c>
      <c r="D85" t="s">
        <v>1</v>
      </c>
      <c r="E85">
        <f>VLOOKUP($B85, 'Std Conc'!$A$2:$K$21, MATCH(D85, 'Std Conc'!$A$1:$K$1,0),FALSE)</f>
        <v>0</v>
      </c>
      <c r="F85">
        <v>0.31890000000000002</v>
      </c>
      <c r="G85" t="s">
        <v>3</v>
      </c>
      <c r="H85">
        <f>VLOOKUP($B85, 'Std Conc'!$A$2:$K$21, MATCH(G85, 'Std Conc'!$A$1:$K$1,0),FALSE)</f>
        <v>0</v>
      </c>
      <c r="I85">
        <v>81.2821</v>
      </c>
      <c r="J85" t="s">
        <v>218</v>
      </c>
      <c r="K85">
        <f>VLOOKUP($B85, 'Std Conc'!$A$2:$K$21, MATCH(J85, 'Std Conc'!$A$1:$K$1,0),FALSE)</f>
        <v>0</v>
      </c>
      <c r="L85">
        <v>3026.0160000000001</v>
      </c>
      <c r="M85" t="s">
        <v>105</v>
      </c>
      <c r="N85">
        <f>VLOOKUP($B85, 'Std Conc'!$A$2:$K$21, MATCH(M85, 'Std Conc'!$A$1:$K$1,0),FALSE)</f>
        <v>0</v>
      </c>
      <c r="O85">
        <v>53.655200000000001</v>
      </c>
    </row>
    <row r="86" spans="1:15" x14ac:dyDescent="0.2">
      <c r="A86">
        <v>85</v>
      </c>
      <c r="B86" t="s">
        <v>230</v>
      </c>
      <c r="C86" t="s">
        <v>87</v>
      </c>
      <c r="D86" t="s">
        <v>1</v>
      </c>
      <c r="E86">
        <f>VLOOKUP($B86, 'Std Conc'!$A$2:$K$21, MATCH(D86, 'Std Conc'!$A$1:$K$1,0),FALSE)</f>
        <v>1.7999999999999998</v>
      </c>
      <c r="F86">
        <v>0.45619999999999999</v>
      </c>
      <c r="G86" t="s">
        <v>3</v>
      </c>
      <c r="H86">
        <f>VLOOKUP($B86, 'Std Conc'!$A$2:$K$21, MATCH(G86, 'Std Conc'!$A$1:$K$1,0),FALSE)</f>
        <v>415</v>
      </c>
      <c r="I86">
        <v>135.8554</v>
      </c>
      <c r="J86" t="s">
        <v>218</v>
      </c>
      <c r="K86">
        <f>VLOOKUP($B86, 'Std Conc'!$A$2:$K$21, MATCH(J86, 'Std Conc'!$A$1:$K$1,0),FALSE)</f>
        <v>209500</v>
      </c>
      <c r="L86">
        <v>3713.3326999999999</v>
      </c>
      <c r="M86" t="s">
        <v>105</v>
      </c>
      <c r="N86">
        <f>VLOOKUP($B86, 'Std Conc'!$A$2:$K$21, MATCH(M86, 'Std Conc'!$A$1:$K$1,0),FALSE)</f>
        <v>0.32500000000000001</v>
      </c>
      <c r="O86">
        <v>91.801400000000001</v>
      </c>
    </row>
    <row r="87" spans="1:15" x14ac:dyDescent="0.2">
      <c r="A87">
        <v>86</v>
      </c>
      <c r="B87" t="s">
        <v>220</v>
      </c>
      <c r="C87" t="s">
        <v>88</v>
      </c>
      <c r="D87" t="s">
        <v>1</v>
      </c>
      <c r="E87">
        <f>VLOOKUP($B87, 'Std Conc'!$A$2:$K$21, MATCH(D87, 'Std Conc'!$A$1:$K$1,0),FALSE)</f>
        <v>0</v>
      </c>
      <c r="F87">
        <v>0.37740000000000001</v>
      </c>
      <c r="G87" t="s">
        <v>3</v>
      </c>
      <c r="H87">
        <f>VLOOKUP($B87, 'Std Conc'!$A$2:$K$21, MATCH(G87, 'Std Conc'!$A$1:$K$1,0),FALSE)</f>
        <v>0</v>
      </c>
      <c r="I87">
        <v>102.026</v>
      </c>
      <c r="J87" t="s">
        <v>218</v>
      </c>
      <c r="K87">
        <f>VLOOKUP($B87, 'Std Conc'!$A$2:$K$21, MATCH(J87, 'Std Conc'!$A$1:$K$1,0),FALSE)</f>
        <v>0</v>
      </c>
      <c r="L87">
        <v>3340.2469999999998</v>
      </c>
      <c r="M87" t="s">
        <v>105</v>
      </c>
      <c r="N87">
        <f>VLOOKUP($B87, 'Std Conc'!$A$2:$K$21, MATCH(M87, 'Std Conc'!$A$1:$K$1,0),FALSE)</f>
        <v>0</v>
      </c>
      <c r="O87">
        <v>72.131399999999999</v>
      </c>
    </row>
    <row r="88" spans="1:15" x14ac:dyDescent="0.2">
      <c r="A88">
        <v>87</v>
      </c>
      <c r="B88" t="s">
        <v>220</v>
      </c>
      <c r="C88" t="s">
        <v>89</v>
      </c>
      <c r="D88" t="s">
        <v>1</v>
      </c>
      <c r="E88">
        <f>VLOOKUP($B88, 'Std Conc'!$A$2:$K$21, MATCH(D88, 'Std Conc'!$A$1:$K$1,0),FALSE)</f>
        <v>0</v>
      </c>
      <c r="F88">
        <v>0.38779999999999998</v>
      </c>
      <c r="G88" t="s">
        <v>3</v>
      </c>
      <c r="H88">
        <f>VLOOKUP($B88, 'Std Conc'!$A$2:$K$21, MATCH(G88, 'Std Conc'!$A$1:$K$1,0),FALSE)</f>
        <v>0</v>
      </c>
      <c r="I88">
        <v>106.52760000000001</v>
      </c>
      <c r="J88" t="s">
        <v>218</v>
      </c>
      <c r="K88">
        <f>VLOOKUP($B88, 'Std Conc'!$A$2:$K$21, MATCH(J88, 'Std Conc'!$A$1:$K$1,0),FALSE)</f>
        <v>0</v>
      </c>
      <c r="L88">
        <v>3474.0834</v>
      </c>
      <c r="M88" t="s">
        <v>105</v>
      </c>
      <c r="N88">
        <f>VLOOKUP($B88, 'Std Conc'!$A$2:$K$21, MATCH(M88, 'Std Conc'!$A$1:$K$1,0),FALSE)</f>
        <v>0</v>
      </c>
      <c r="O88">
        <v>76.017600000000002</v>
      </c>
    </row>
    <row r="89" spans="1:15" x14ac:dyDescent="0.2">
      <c r="A89">
        <v>88</v>
      </c>
      <c r="B89" t="s">
        <v>220</v>
      </c>
      <c r="C89" t="s">
        <v>90</v>
      </c>
      <c r="D89" t="s">
        <v>1</v>
      </c>
      <c r="E89">
        <f>VLOOKUP($B89, 'Std Conc'!$A$2:$K$21, MATCH(D89, 'Std Conc'!$A$1:$K$1,0),FALSE)</f>
        <v>0</v>
      </c>
      <c r="F89">
        <v>0.32390000000000002</v>
      </c>
      <c r="G89" t="s">
        <v>3</v>
      </c>
      <c r="H89">
        <f>VLOOKUP($B89, 'Std Conc'!$A$2:$K$21, MATCH(G89, 'Std Conc'!$A$1:$K$1,0),FALSE)</f>
        <v>0</v>
      </c>
      <c r="I89">
        <v>88.330500000000001</v>
      </c>
      <c r="J89" t="s">
        <v>218</v>
      </c>
      <c r="K89">
        <f>VLOOKUP($B89, 'Std Conc'!$A$2:$K$21, MATCH(J89, 'Std Conc'!$A$1:$K$1,0),FALSE)</f>
        <v>0</v>
      </c>
      <c r="L89">
        <v>3099.9958999999999</v>
      </c>
      <c r="M89" t="s">
        <v>105</v>
      </c>
      <c r="N89">
        <f>VLOOKUP($B89, 'Std Conc'!$A$2:$K$21, MATCH(M89, 'Std Conc'!$A$1:$K$1,0),FALSE)</f>
        <v>0</v>
      </c>
      <c r="O89">
        <v>57.478000000000002</v>
      </c>
    </row>
    <row r="90" spans="1:15" x14ac:dyDescent="0.2">
      <c r="A90">
        <v>89</v>
      </c>
      <c r="B90" t="s">
        <v>227</v>
      </c>
      <c r="C90" t="s">
        <v>91</v>
      </c>
      <c r="D90" t="s">
        <v>1</v>
      </c>
      <c r="E90">
        <f>VLOOKUP($B90, 'Std Conc'!$A$2:$K$21, MATCH(D90, 'Std Conc'!$A$1:$K$1,0),FALSE)</f>
        <v>0</v>
      </c>
      <c r="F90">
        <v>0</v>
      </c>
      <c r="G90" t="s">
        <v>3</v>
      </c>
      <c r="H90">
        <f>VLOOKUP($B90, 'Std Conc'!$A$2:$K$21, MATCH(G90, 'Std Conc'!$A$1:$K$1,0),FALSE)</f>
        <v>0</v>
      </c>
      <c r="I90">
        <v>11.251200000000001</v>
      </c>
      <c r="J90" t="s">
        <v>218</v>
      </c>
      <c r="K90">
        <f>VLOOKUP($B90, 'Std Conc'!$A$2:$K$21, MATCH(J90, 'Std Conc'!$A$1:$K$1,0),FALSE)</f>
        <v>0</v>
      </c>
      <c r="L90">
        <v>920.36720000000003</v>
      </c>
      <c r="M90" t="s">
        <v>105</v>
      </c>
      <c r="N90">
        <f>VLOOKUP($B90, 'Std Conc'!$A$2:$K$21, MATCH(M90, 'Std Conc'!$A$1:$K$1,0),FALSE)</f>
        <v>0</v>
      </c>
      <c r="O90">
        <v>4.79</v>
      </c>
    </row>
    <row r="91" spans="1:15" x14ac:dyDescent="0.2">
      <c r="A91">
        <v>90</v>
      </c>
      <c r="B91" t="s">
        <v>220</v>
      </c>
      <c r="C91" t="s">
        <v>92</v>
      </c>
      <c r="D91" t="s">
        <v>1</v>
      </c>
      <c r="E91">
        <f>VLOOKUP($B91, 'Std Conc'!$A$2:$K$21, MATCH(D91, 'Std Conc'!$A$1:$K$1,0),FALSE)</f>
        <v>0</v>
      </c>
      <c r="F91">
        <v>0.29199999999999998</v>
      </c>
      <c r="G91" t="s">
        <v>3</v>
      </c>
      <c r="H91">
        <f>VLOOKUP($B91, 'Std Conc'!$A$2:$K$21, MATCH(G91, 'Std Conc'!$A$1:$K$1,0),FALSE)</f>
        <v>0</v>
      </c>
      <c r="I91">
        <v>83.956400000000002</v>
      </c>
      <c r="J91" t="s">
        <v>218</v>
      </c>
      <c r="K91">
        <f>VLOOKUP($B91, 'Std Conc'!$A$2:$K$21, MATCH(J91, 'Std Conc'!$A$1:$K$1,0),FALSE)</f>
        <v>0</v>
      </c>
      <c r="L91">
        <v>3046.4322000000002</v>
      </c>
      <c r="M91" t="s">
        <v>105</v>
      </c>
      <c r="N91">
        <f>VLOOKUP($B91, 'Std Conc'!$A$2:$K$21, MATCH(M91, 'Std Conc'!$A$1:$K$1,0),FALSE)</f>
        <v>0</v>
      </c>
      <c r="O91">
        <v>54.569099999999999</v>
      </c>
    </row>
    <row r="92" spans="1:15" x14ac:dyDescent="0.2">
      <c r="A92">
        <v>91</v>
      </c>
      <c r="B92" t="s">
        <v>231</v>
      </c>
      <c r="C92" t="s">
        <v>93</v>
      </c>
      <c r="D92" t="s">
        <v>1</v>
      </c>
      <c r="E92">
        <f>VLOOKUP($B92, 'Std Conc'!$A$2:$K$21, MATCH(D92, 'Std Conc'!$A$1:$K$1,0),FALSE)</f>
        <v>0.30000000000000004</v>
      </c>
      <c r="F92">
        <v>0</v>
      </c>
      <c r="G92" t="s">
        <v>3</v>
      </c>
      <c r="H92">
        <f>VLOOKUP($B92, 'Std Conc'!$A$2:$K$21, MATCH(G92, 'Std Conc'!$A$1:$K$1,0),FALSE)</f>
        <v>69.166666666666671</v>
      </c>
      <c r="I92">
        <v>16.1158</v>
      </c>
      <c r="J92" t="s">
        <v>218</v>
      </c>
      <c r="K92">
        <f>VLOOKUP($B92, 'Std Conc'!$A$2:$K$21, MATCH(J92, 'Std Conc'!$A$1:$K$1,0),FALSE)</f>
        <v>34916.666666666664</v>
      </c>
      <c r="L92">
        <v>1735.4905000000001</v>
      </c>
      <c r="M92" t="s">
        <v>105</v>
      </c>
      <c r="N92">
        <f>VLOOKUP($B92, 'Std Conc'!$A$2:$K$21, MATCH(M92, 'Std Conc'!$A$1:$K$1,0),FALSE)</f>
        <v>5.4166666666666669E-2</v>
      </c>
      <c r="O92">
        <v>10.374599999999999</v>
      </c>
    </row>
    <row r="93" spans="1:15" x14ac:dyDescent="0.2">
      <c r="A93">
        <v>92</v>
      </c>
      <c r="B93" t="s">
        <v>220</v>
      </c>
      <c r="C93" t="s">
        <v>94</v>
      </c>
      <c r="D93" t="s">
        <v>1</v>
      </c>
      <c r="E93">
        <f>VLOOKUP($B93, 'Std Conc'!$A$2:$K$21, MATCH(D93, 'Std Conc'!$A$1:$K$1,0),FALSE)</f>
        <v>0</v>
      </c>
      <c r="F93">
        <v>0.36120000000000002</v>
      </c>
      <c r="G93" t="s">
        <v>3</v>
      </c>
      <c r="H93">
        <f>VLOOKUP($B93, 'Std Conc'!$A$2:$K$21, MATCH(G93, 'Std Conc'!$A$1:$K$1,0),FALSE)</f>
        <v>0</v>
      </c>
      <c r="I93">
        <v>96.009799999999998</v>
      </c>
      <c r="J93" t="s">
        <v>218</v>
      </c>
      <c r="K93">
        <f>VLOOKUP($B93, 'Std Conc'!$A$2:$K$21, MATCH(J93, 'Std Conc'!$A$1:$K$1,0),FALSE)</f>
        <v>0</v>
      </c>
      <c r="L93">
        <v>3297.3580999999999</v>
      </c>
      <c r="M93" t="s">
        <v>105</v>
      </c>
      <c r="N93">
        <f>VLOOKUP($B93, 'Std Conc'!$A$2:$K$21, MATCH(M93, 'Std Conc'!$A$1:$K$1,0),FALSE)</f>
        <v>0</v>
      </c>
      <c r="O93">
        <v>62.139499999999998</v>
      </c>
    </row>
    <row r="94" spans="1:15" x14ac:dyDescent="0.2">
      <c r="A94">
        <v>93</v>
      </c>
      <c r="B94" t="s">
        <v>228</v>
      </c>
      <c r="C94" t="s">
        <v>95</v>
      </c>
      <c r="D94" t="s">
        <v>1</v>
      </c>
      <c r="E94">
        <f>VLOOKUP($B94, 'Std Conc'!$A$2:$K$21, MATCH(D94, 'Std Conc'!$A$1:$K$1,0),FALSE)</f>
        <v>0.60000000000000009</v>
      </c>
      <c r="F94">
        <v>0</v>
      </c>
      <c r="G94" t="s">
        <v>3</v>
      </c>
      <c r="H94">
        <f>VLOOKUP($B94, 'Std Conc'!$A$2:$K$21, MATCH(G94, 'Std Conc'!$A$1:$K$1,0),FALSE)</f>
        <v>138.33333333333334</v>
      </c>
      <c r="I94">
        <v>12.0968</v>
      </c>
      <c r="J94" t="s">
        <v>218</v>
      </c>
      <c r="K94">
        <f>VLOOKUP($B94, 'Std Conc'!$A$2:$K$21, MATCH(J94, 'Std Conc'!$A$1:$K$1,0),FALSE)</f>
        <v>69833.333333333328</v>
      </c>
      <c r="L94">
        <v>2103.5106000000001</v>
      </c>
      <c r="M94" t="s">
        <v>105</v>
      </c>
      <c r="N94">
        <f>VLOOKUP($B94, 'Std Conc'!$A$2:$K$21, MATCH(M94, 'Std Conc'!$A$1:$K$1,0),FALSE)</f>
        <v>0.10833333333333334</v>
      </c>
      <c r="O94">
        <v>6.3878000000000004</v>
      </c>
    </row>
    <row r="95" spans="1:15" x14ac:dyDescent="0.2">
      <c r="A95">
        <v>94</v>
      </c>
      <c r="B95" t="s">
        <v>220</v>
      </c>
      <c r="C95" t="s">
        <v>96</v>
      </c>
      <c r="D95" t="s">
        <v>1</v>
      </c>
      <c r="E95">
        <f>VLOOKUP($B95, 'Std Conc'!$A$2:$K$21, MATCH(D95, 'Std Conc'!$A$1:$K$1,0),FALSE)</f>
        <v>0</v>
      </c>
      <c r="F95">
        <v>0.32969999999999999</v>
      </c>
      <c r="G95" t="s">
        <v>3</v>
      </c>
      <c r="H95">
        <f>VLOOKUP($B95, 'Std Conc'!$A$2:$K$21, MATCH(G95, 'Std Conc'!$A$1:$K$1,0),FALSE)</f>
        <v>0</v>
      </c>
      <c r="I95">
        <v>87.2988</v>
      </c>
      <c r="J95" t="s">
        <v>218</v>
      </c>
      <c r="K95">
        <f>VLOOKUP($B95, 'Std Conc'!$A$2:$K$21, MATCH(J95, 'Std Conc'!$A$1:$K$1,0),FALSE)</f>
        <v>0</v>
      </c>
      <c r="L95">
        <v>3171.4245999999998</v>
      </c>
      <c r="M95" t="s">
        <v>105</v>
      </c>
      <c r="N95">
        <f>VLOOKUP($B95, 'Std Conc'!$A$2:$K$21, MATCH(M95, 'Std Conc'!$A$1:$K$1,0),FALSE)</f>
        <v>0</v>
      </c>
      <c r="O95">
        <v>55.408999999999999</v>
      </c>
    </row>
    <row r="96" spans="1:15" x14ac:dyDescent="0.2">
      <c r="A96">
        <v>95</v>
      </c>
      <c r="B96" t="s">
        <v>232</v>
      </c>
      <c r="C96" t="s">
        <v>97</v>
      </c>
      <c r="D96" t="s">
        <v>1</v>
      </c>
      <c r="E96">
        <f>VLOOKUP($B96, 'Std Conc'!$A$2:$K$21, MATCH(D96, 'Std Conc'!$A$1:$K$1,0),FALSE)</f>
        <v>0.89999999999999991</v>
      </c>
      <c r="F96">
        <v>0</v>
      </c>
      <c r="G96" t="s">
        <v>3</v>
      </c>
      <c r="H96">
        <f>VLOOKUP($B96, 'Std Conc'!$A$2:$K$21, MATCH(G96, 'Std Conc'!$A$1:$K$1,0),FALSE)</f>
        <v>207.5</v>
      </c>
      <c r="I96">
        <v>10.9574</v>
      </c>
      <c r="J96" t="s">
        <v>218</v>
      </c>
      <c r="K96">
        <f>VLOOKUP($B96, 'Std Conc'!$A$2:$K$21, MATCH(J96, 'Std Conc'!$A$1:$K$1,0),FALSE)</f>
        <v>104750</v>
      </c>
      <c r="L96">
        <v>2880.3919000000001</v>
      </c>
      <c r="M96" t="s">
        <v>105</v>
      </c>
      <c r="N96">
        <f>VLOOKUP($B96, 'Std Conc'!$A$2:$K$21, MATCH(M96, 'Std Conc'!$A$1:$K$1,0),FALSE)</f>
        <v>0.16250000000000001</v>
      </c>
      <c r="O96">
        <v>7.2766000000000002</v>
      </c>
    </row>
    <row r="97" spans="1:15" x14ac:dyDescent="0.2">
      <c r="A97">
        <v>96</v>
      </c>
      <c r="B97" t="s">
        <v>220</v>
      </c>
      <c r="C97" t="s">
        <v>98</v>
      </c>
      <c r="D97" t="s">
        <v>1</v>
      </c>
      <c r="E97">
        <f>VLOOKUP($B97, 'Std Conc'!$A$2:$K$21, MATCH(D97, 'Std Conc'!$A$1:$K$1,0),FALSE)</f>
        <v>0</v>
      </c>
      <c r="F97">
        <v>0.31259999999999999</v>
      </c>
      <c r="G97" t="s">
        <v>3</v>
      </c>
      <c r="H97">
        <f>VLOOKUP($B97, 'Std Conc'!$A$2:$K$21, MATCH(G97, 'Std Conc'!$A$1:$K$1,0),FALSE)</f>
        <v>0</v>
      </c>
      <c r="I97">
        <v>87.896000000000001</v>
      </c>
      <c r="J97" t="s">
        <v>218</v>
      </c>
      <c r="K97">
        <f>VLOOKUP($B97, 'Std Conc'!$A$2:$K$21, MATCH(J97, 'Std Conc'!$A$1:$K$1,0),FALSE)</f>
        <v>0</v>
      </c>
      <c r="L97">
        <v>3183.7797999999998</v>
      </c>
      <c r="M97" t="s">
        <v>105</v>
      </c>
      <c r="N97">
        <f>VLOOKUP($B97, 'Std Conc'!$A$2:$K$21, MATCH(M97, 'Std Conc'!$A$1:$K$1,0),FALSE)</f>
        <v>0</v>
      </c>
      <c r="O97">
        <v>53.1646</v>
      </c>
    </row>
    <row r="98" spans="1:15" x14ac:dyDescent="0.2">
      <c r="A98">
        <v>97</v>
      </c>
      <c r="B98" t="s">
        <v>229</v>
      </c>
      <c r="C98" t="s">
        <v>99</v>
      </c>
      <c r="D98" t="s">
        <v>1</v>
      </c>
      <c r="E98">
        <f>VLOOKUP($B98, 'Std Conc'!$A$2:$K$21, MATCH(D98, 'Std Conc'!$A$1:$K$1,0),FALSE)</f>
        <v>1.2000000000000002</v>
      </c>
      <c r="F98">
        <v>0</v>
      </c>
      <c r="G98" t="s">
        <v>3</v>
      </c>
      <c r="H98">
        <f>VLOOKUP($B98, 'Std Conc'!$A$2:$K$21, MATCH(G98, 'Std Conc'!$A$1:$K$1,0),FALSE)</f>
        <v>276.66666666666669</v>
      </c>
      <c r="I98">
        <v>10.317399999999999</v>
      </c>
      <c r="J98" t="s">
        <v>218</v>
      </c>
      <c r="K98">
        <f>VLOOKUP($B98, 'Std Conc'!$A$2:$K$21, MATCH(J98, 'Std Conc'!$A$1:$K$1,0),FALSE)</f>
        <v>139666.66666666666</v>
      </c>
      <c r="L98">
        <v>3522.2271999999998</v>
      </c>
      <c r="M98" t="s">
        <v>105</v>
      </c>
      <c r="N98">
        <f>VLOOKUP($B98, 'Std Conc'!$A$2:$K$21, MATCH(M98, 'Std Conc'!$A$1:$K$1,0),FALSE)</f>
        <v>0.21666666666666667</v>
      </c>
      <c r="O98">
        <v>4.7187999999999999</v>
      </c>
    </row>
    <row r="99" spans="1:15" x14ac:dyDescent="0.2">
      <c r="A99">
        <v>98</v>
      </c>
      <c r="B99" t="s">
        <v>220</v>
      </c>
      <c r="C99" t="s">
        <v>100</v>
      </c>
      <c r="D99" t="s">
        <v>1</v>
      </c>
      <c r="E99">
        <f>VLOOKUP($B99, 'Std Conc'!$A$2:$K$21, MATCH(D99, 'Std Conc'!$A$1:$K$1,0),FALSE)</f>
        <v>0</v>
      </c>
      <c r="F99">
        <v>0.29759999999999998</v>
      </c>
      <c r="G99" t="s">
        <v>3</v>
      </c>
      <c r="H99">
        <f>VLOOKUP($B99, 'Std Conc'!$A$2:$K$21, MATCH(G99, 'Std Conc'!$A$1:$K$1,0),FALSE)</f>
        <v>0</v>
      </c>
      <c r="I99">
        <v>71.777900000000002</v>
      </c>
      <c r="J99" t="s">
        <v>218</v>
      </c>
      <c r="K99">
        <f>VLOOKUP($B99, 'Std Conc'!$A$2:$K$21, MATCH(J99, 'Std Conc'!$A$1:$K$1,0),FALSE)</f>
        <v>0</v>
      </c>
      <c r="L99">
        <v>2731.3242</v>
      </c>
      <c r="M99" t="s">
        <v>105</v>
      </c>
      <c r="N99">
        <f>VLOOKUP($B99, 'Std Conc'!$A$2:$K$21, MATCH(M99, 'Std Conc'!$A$1:$K$1,0),FALSE)</f>
        <v>0</v>
      </c>
      <c r="O99">
        <v>44.755000000000003</v>
      </c>
    </row>
    <row r="100" spans="1:15" x14ac:dyDescent="0.2">
      <c r="A100">
        <v>99</v>
      </c>
      <c r="B100" t="s">
        <v>220</v>
      </c>
      <c r="C100" t="s">
        <v>101</v>
      </c>
      <c r="D100" t="s">
        <v>1</v>
      </c>
      <c r="E100">
        <f>VLOOKUP($B100, 'Std Conc'!$A$2:$K$21, MATCH(D100, 'Std Conc'!$A$1:$K$1,0),FALSE)</f>
        <v>0</v>
      </c>
      <c r="F100">
        <v>0.29720000000000002</v>
      </c>
      <c r="G100" t="s">
        <v>3</v>
      </c>
      <c r="H100">
        <f>VLOOKUP($B100, 'Std Conc'!$A$2:$K$21, MATCH(G100, 'Std Conc'!$A$1:$K$1,0),FALSE)</f>
        <v>0</v>
      </c>
      <c r="I100">
        <v>81.694599999999994</v>
      </c>
      <c r="J100" t="s">
        <v>218</v>
      </c>
      <c r="K100">
        <f>VLOOKUP($B100, 'Std Conc'!$A$2:$K$21, MATCH(J100, 'Std Conc'!$A$1:$K$1,0),FALSE)</f>
        <v>0</v>
      </c>
      <c r="L100">
        <v>3123.6075000000001</v>
      </c>
      <c r="M100" t="s">
        <v>105</v>
      </c>
      <c r="N100">
        <f>VLOOKUP($B100, 'Std Conc'!$A$2:$K$21, MATCH(M100, 'Std Conc'!$A$1:$K$1,0),FALSE)</f>
        <v>0</v>
      </c>
      <c r="O100">
        <v>53.889600000000002</v>
      </c>
    </row>
    <row r="101" spans="1:15" x14ac:dyDescent="0.2">
      <c r="A101">
        <v>100</v>
      </c>
      <c r="B101" t="s">
        <v>220</v>
      </c>
      <c r="C101" t="s">
        <v>102</v>
      </c>
      <c r="D101" t="s">
        <v>1</v>
      </c>
      <c r="E101">
        <f>VLOOKUP($B101, 'Std Conc'!$A$2:$K$21, MATCH(D101, 'Std Conc'!$A$1:$K$1,0),FALSE)</f>
        <v>0</v>
      </c>
      <c r="F101">
        <v>0.34939999999999999</v>
      </c>
      <c r="G101" t="s">
        <v>3</v>
      </c>
      <c r="H101">
        <f>VLOOKUP($B101, 'Std Conc'!$A$2:$K$21, MATCH(G101, 'Std Conc'!$A$1:$K$1,0),FALSE)</f>
        <v>0</v>
      </c>
      <c r="I101">
        <v>100.95910000000001</v>
      </c>
      <c r="J101" t="s">
        <v>218</v>
      </c>
      <c r="K101">
        <f>VLOOKUP($B101, 'Std Conc'!$A$2:$K$21, MATCH(J101, 'Std Conc'!$A$1:$K$1,0),FALSE)</f>
        <v>0</v>
      </c>
      <c r="L101">
        <v>3245.4587999999999</v>
      </c>
      <c r="M101" t="s">
        <v>105</v>
      </c>
      <c r="N101">
        <f>VLOOKUP($B101, 'Std Conc'!$A$2:$K$21, MATCH(M101, 'Std Conc'!$A$1:$K$1,0),FALSE)</f>
        <v>0</v>
      </c>
      <c r="O101">
        <v>65.542400000000001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5435-DECC-454E-B409-C8E1D96C00AF}">
  <dimension ref="A1:O101"/>
  <sheetViews>
    <sheetView topLeftCell="G89" zoomScale="255" zoomScaleNormal="60" workbookViewId="0">
      <selection activeCell="N90" sqref="N90:O101"/>
    </sheetView>
  </sheetViews>
  <sheetFormatPr baseColWidth="10" defaultColWidth="8.83203125" defaultRowHeight="15" x14ac:dyDescent="0.2"/>
  <cols>
    <col min="2" max="2" width="17.6640625" bestFit="1" customWidth="1"/>
    <col min="3" max="3" width="20.83203125" customWidth="1"/>
    <col min="5" max="5" width="19.5" bestFit="1" customWidth="1"/>
  </cols>
  <sheetData>
    <row r="1" spans="1:15" x14ac:dyDescent="0.2">
      <c r="B1" t="s">
        <v>205</v>
      </c>
      <c r="C1" t="s">
        <v>206</v>
      </c>
      <c r="D1" t="s">
        <v>245</v>
      </c>
      <c r="E1" t="s">
        <v>246</v>
      </c>
      <c r="F1" t="s">
        <v>210</v>
      </c>
      <c r="G1" t="s">
        <v>245</v>
      </c>
      <c r="H1" t="s">
        <v>246</v>
      </c>
      <c r="I1" t="s">
        <v>213</v>
      </c>
      <c r="J1" t="s">
        <v>245</v>
      </c>
      <c r="K1" t="s">
        <v>246</v>
      </c>
      <c r="L1" t="s">
        <v>215</v>
      </c>
      <c r="M1" t="s">
        <v>245</v>
      </c>
      <c r="N1" t="s">
        <v>246</v>
      </c>
      <c r="O1" t="s">
        <v>217</v>
      </c>
    </row>
    <row r="2" spans="1:15" x14ac:dyDescent="0.2">
      <c r="A2">
        <v>1</v>
      </c>
      <c r="B2" t="s">
        <v>220</v>
      </c>
      <c r="C2" t="s">
        <v>0</v>
      </c>
      <c r="D2" t="s">
        <v>1</v>
      </c>
      <c r="E2">
        <v>0</v>
      </c>
      <c r="F2">
        <v>0.3412</v>
      </c>
      <c r="G2" t="s">
        <v>3</v>
      </c>
      <c r="H2">
        <v>0</v>
      </c>
      <c r="I2">
        <v>107.5538</v>
      </c>
      <c r="J2" t="s">
        <v>218</v>
      </c>
      <c r="K2">
        <v>0</v>
      </c>
      <c r="L2">
        <v>3443.5486999999998</v>
      </c>
      <c r="M2" t="s">
        <v>105</v>
      </c>
      <c r="N2">
        <v>0</v>
      </c>
      <c r="O2">
        <v>65.249600000000001</v>
      </c>
    </row>
    <row r="3" spans="1:15" x14ac:dyDescent="0.2">
      <c r="A3">
        <v>2</v>
      </c>
      <c r="B3" t="s">
        <v>220</v>
      </c>
      <c r="C3" t="s">
        <v>4</v>
      </c>
      <c r="D3" t="s">
        <v>1</v>
      </c>
      <c r="E3">
        <v>0</v>
      </c>
      <c r="F3">
        <v>0.28860000000000002</v>
      </c>
      <c r="G3" t="s">
        <v>3</v>
      </c>
      <c r="H3">
        <v>0</v>
      </c>
      <c r="I3">
        <v>92.795000000000002</v>
      </c>
      <c r="J3" t="s">
        <v>218</v>
      </c>
      <c r="K3">
        <v>0</v>
      </c>
      <c r="L3">
        <v>3193.884</v>
      </c>
      <c r="M3" t="s">
        <v>105</v>
      </c>
      <c r="N3">
        <v>0</v>
      </c>
      <c r="O3">
        <v>56.245199999999997</v>
      </c>
    </row>
    <row r="4" spans="1:15" x14ac:dyDescent="0.2">
      <c r="A4">
        <v>3</v>
      </c>
      <c r="B4" t="s">
        <v>220</v>
      </c>
      <c r="C4" t="s">
        <v>5</v>
      </c>
      <c r="D4" t="s">
        <v>1</v>
      </c>
      <c r="E4">
        <v>0</v>
      </c>
      <c r="F4">
        <v>0.28689999999999999</v>
      </c>
      <c r="G4" t="s">
        <v>3</v>
      </c>
      <c r="H4">
        <v>0</v>
      </c>
      <c r="I4">
        <v>83.880899999999997</v>
      </c>
      <c r="J4" t="s">
        <v>218</v>
      </c>
      <c r="K4">
        <v>0</v>
      </c>
      <c r="L4">
        <v>3134.6017999999999</v>
      </c>
      <c r="M4" t="s">
        <v>105</v>
      </c>
      <c r="N4">
        <v>0</v>
      </c>
      <c r="O4">
        <v>55.716099999999997</v>
      </c>
    </row>
    <row r="5" spans="1:15" x14ac:dyDescent="0.2">
      <c r="A5">
        <v>4</v>
      </c>
      <c r="B5" t="s">
        <v>220</v>
      </c>
      <c r="C5" t="s">
        <v>6</v>
      </c>
      <c r="D5" t="s">
        <v>1</v>
      </c>
      <c r="E5">
        <v>0</v>
      </c>
      <c r="F5">
        <v>0.3664</v>
      </c>
      <c r="G5" t="s">
        <v>3</v>
      </c>
      <c r="H5">
        <v>0</v>
      </c>
      <c r="I5">
        <v>106.34480000000001</v>
      </c>
      <c r="J5" t="s">
        <v>218</v>
      </c>
      <c r="K5">
        <v>0</v>
      </c>
      <c r="L5">
        <v>3523.4861999999998</v>
      </c>
      <c r="M5" t="s">
        <v>105</v>
      </c>
      <c r="N5">
        <v>0</v>
      </c>
      <c r="O5">
        <v>67.144199999999998</v>
      </c>
    </row>
    <row r="6" spans="1:15" x14ac:dyDescent="0.2">
      <c r="A6">
        <v>5</v>
      </c>
      <c r="B6" t="s">
        <v>220</v>
      </c>
      <c r="C6" t="s">
        <v>7</v>
      </c>
      <c r="D6" t="s">
        <v>1</v>
      </c>
      <c r="E6">
        <v>0</v>
      </c>
      <c r="F6">
        <v>0.2984</v>
      </c>
      <c r="G6" t="s">
        <v>3</v>
      </c>
      <c r="H6">
        <v>0</v>
      </c>
      <c r="I6">
        <v>83.412999999999997</v>
      </c>
      <c r="J6" t="s">
        <v>218</v>
      </c>
      <c r="K6">
        <v>0</v>
      </c>
      <c r="L6">
        <v>3125.125</v>
      </c>
      <c r="M6" t="s">
        <v>105</v>
      </c>
      <c r="N6">
        <v>0</v>
      </c>
      <c r="O6">
        <v>55.316099999999999</v>
      </c>
    </row>
    <row r="7" spans="1:15" x14ac:dyDescent="0.2">
      <c r="A7">
        <v>6</v>
      </c>
      <c r="B7" t="s">
        <v>220</v>
      </c>
      <c r="C7" t="s">
        <v>8</v>
      </c>
      <c r="D7" t="s">
        <v>1</v>
      </c>
      <c r="E7">
        <v>0</v>
      </c>
      <c r="F7">
        <v>0.3589</v>
      </c>
      <c r="G7" t="s">
        <v>3</v>
      </c>
      <c r="H7">
        <v>0</v>
      </c>
      <c r="I7">
        <v>100.3836</v>
      </c>
      <c r="J7" t="s">
        <v>218</v>
      </c>
      <c r="K7">
        <v>0</v>
      </c>
      <c r="L7">
        <v>3358.2049999999999</v>
      </c>
      <c r="M7" t="s">
        <v>105</v>
      </c>
      <c r="N7">
        <v>0</v>
      </c>
      <c r="O7">
        <v>65.1327</v>
      </c>
    </row>
    <row r="8" spans="1:15" x14ac:dyDescent="0.2">
      <c r="A8">
        <v>7</v>
      </c>
      <c r="B8" t="s">
        <v>220</v>
      </c>
      <c r="C8" t="s">
        <v>9</v>
      </c>
      <c r="D8" t="s">
        <v>1</v>
      </c>
      <c r="E8">
        <v>0</v>
      </c>
      <c r="F8">
        <v>0.32719999999999999</v>
      </c>
      <c r="G8" t="s">
        <v>3</v>
      </c>
      <c r="H8">
        <v>0</v>
      </c>
      <c r="I8">
        <v>93.509299999999996</v>
      </c>
      <c r="J8" t="s">
        <v>218</v>
      </c>
      <c r="K8">
        <v>0</v>
      </c>
      <c r="L8">
        <v>3204.0272</v>
      </c>
      <c r="M8" t="s">
        <v>105</v>
      </c>
      <c r="N8">
        <v>0</v>
      </c>
      <c r="O8">
        <v>61.67</v>
      </c>
    </row>
    <row r="9" spans="1:15" x14ac:dyDescent="0.2">
      <c r="A9">
        <v>8</v>
      </c>
      <c r="B9" t="s">
        <v>220</v>
      </c>
      <c r="C9" t="s">
        <v>10</v>
      </c>
      <c r="D9" t="s">
        <v>1</v>
      </c>
      <c r="E9">
        <v>0</v>
      </c>
      <c r="F9">
        <v>0.36059999999999998</v>
      </c>
      <c r="G9" t="s">
        <v>3</v>
      </c>
      <c r="H9">
        <v>0</v>
      </c>
      <c r="I9">
        <v>94.233000000000004</v>
      </c>
      <c r="J9" t="s">
        <v>218</v>
      </c>
      <c r="K9">
        <v>0</v>
      </c>
      <c r="L9">
        <v>3344.1682999999998</v>
      </c>
      <c r="M9" t="s">
        <v>105</v>
      </c>
      <c r="N9">
        <v>0</v>
      </c>
      <c r="O9">
        <v>62.036799999999999</v>
      </c>
    </row>
    <row r="10" spans="1:15" x14ac:dyDescent="0.2">
      <c r="A10">
        <v>9</v>
      </c>
      <c r="B10" t="s">
        <v>220</v>
      </c>
      <c r="C10" t="s">
        <v>11</v>
      </c>
      <c r="D10" t="s">
        <v>1</v>
      </c>
      <c r="E10">
        <v>0</v>
      </c>
      <c r="F10">
        <v>0.28870000000000001</v>
      </c>
      <c r="G10" t="s">
        <v>3</v>
      </c>
      <c r="H10">
        <v>0</v>
      </c>
      <c r="I10">
        <v>87.251800000000003</v>
      </c>
      <c r="J10" t="s">
        <v>218</v>
      </c>
      <c r="K10">
        <v>0</v>
      </c>
      <c r="L10">
        <v>3100.4319</v>
      </c>
      <c r="M10" t="s">
        <v>105</v>
      </c>
      <c r="N10">
        <v>0</v>
      </c>
      <c r="O10">
        <v>56.313800000000001</v>
      </c>
    </row>
    <row r="11" spans="1:15" x14ac:dyDescent="0.2">
      <c r="A11">
        <v>10</v>
      </c>
      <c r="B11" t="s">
        <v>220</v>
      </c>
      <c r="C11" t="s">
        <v>12</v>
      </c>
      <c r="D11" t="s">
        <v>1</v>
      </c>
      <c r="E11">
        <v>0</v>
      </c>
      <c r="F11">
        <v>0.3725</v>
      </c>
      <c r="G11" t="s">
        <v>3</v>
      </c>
      <c r="H11">
        <v>0</v>
      </c>
      <c r="I11">
        <v>99.592200000000005</v>
      </c>
      <c r="J11" t="s">
        <v>218</v>
      </c>
      <c r="K11">
        <v>0</v>
      </c>
      <c r="L11">
        <v>3299.6260000000002</v>
      </c>
      <c r="M11" t="s">
        <v>105</v>
      </c>
      <c r="N11">
        <v>0</v>
      </c>
      <c r="O11">
        <v>65.107900000000001</v>
      </c>
    </row>
    <row r="12" spans="1:15" x14ac:dyDescent="0.2">
      <c r="A12">
        <v>12</v>
      </c>
      <c r="B12" t="s">
        <v>220</v>
      </c>
      <c r="C12" t="s">
        <v>14</v>
      </c>
      <c r="D12" t="s">
        <v>1</v>
      </c>
      <c r="E12">
        <v>0</v>
      </c>
      <c r="F12">
        <v>0.316</v>
      </c>
      <c r="G12" t="s">
        <v>3</v>
      </c>
      <c r="H12">
        <v>0</v>
      </c>
      <c r="I12">
        <v>90.039100000000005</v>
      </c>
      <c r="J12" t="s">
        <v>218</v>
      </c>
      <c r="K12">
        <v>0</v>
      </c>
      <c r="L12">
        <v>3125.5167999999999</v>
      </c>
      <c r="M12" t="s">
        <v>105</v>
      </c>
      <c r="N12">
        <v>0</v>
      </c>
      <c r="O12">
        <v>56.7014</v>
      </c>
    </row>
    <row r="13" spans="1:15" x14ac:dyDescent="0.2">
      <c r="A13">
        <v>14</v>
      </c>
      <c r="B13" t="s">
        <v>220</v>
      </c>
      <c r="C13" t="s">
        <v>16</v>
      </c>
      <c r="D13" t="s">
        <v>1</v>
      </c>
      <c r="E13">
        <v>0</v>
      </c>
      <c r="F13">
        <v>0.372</v>
      </c>
      <c r="G13" t="s">
        <v>3</v>
      </c>
      <c r="H13">
        <v>0</v>
      </c>
      <c r="I13">
        <v>101.8445</v>
      </c>
      <c r="J13" t="s">
        <v>218</v>
      </c>
      <c r="K13">
        <v>0</v>
      </c>
      <c r="L13">
        <v>3322.6725000000001</v>
      </c>
      <c r="M13" t="s">
        <v>105</v>
      </c>
      <c r="N13">
        <v>0</v>
      </c>
      <c r="O13">
        <v>69.297399999999996</v>
      </c>
    </row>
    <row r="14" spans="1:15" x14ac:dyDescent="0.2">
      <c r="A14">
        <v>16</v>
      </c>
      <c r="B14" t="s">
        <v>220</v>
      </c>
      <c r="C14" t="s">
        <v>18</v>
      </c>
      <c r="D14" t="s">
        <v>1</v>
      </c>
      <c r="E14">
        <v>0</v>
      </c>
      <c r="F14">
        <v>0.33360000000000001</v>
      </c>
      <c r="G14" t="s">
        <v>3</v>
      </c>
      <c r="H14">
        <v>0</v>
      </c>
      <c r="I14">
        <v>96.419200000000004</v>
      </c>
      <c r="J14" t="s">
        <v>218</v>
      </c>
      <c r="K14">
        <v>0</v>
      </c>
      <c r="L14">
        <v>3241.9110999999998</v>
      </c>
      <c r="M14" t="s">
        <v>105</v>
      </c>
      <c r="N14">
        <v>0</v>
      </c>
      <c r="O14">
        <v>64.590199999999996</v>
      </c>
    </row>
    <row r="15" spans="1:15" x14ac:dyDescent="0.2">
      <c r="A15">
        <v>18</v>
      </c>
      <c r="B15" t="s">
        <v>220</v>
      </c>
      <c r="C15" t="s">
        <v>20</v>
      </c>
      <c r="D15" t="s">
        <v>1</v>
      </c>
      <c r="E15">
        <v>0</v>
      </c>
      <c r="F15">
        <v>0.38590000000000002</v>
      </c>
      <c r="G15" t="s">
        <v>3</v>
      </c>
      <c r="H15">
        <v>0</v>
      </c>
      <c r="I15">
        <v>100.8193</v>
      </c>
      <c r="J15" t="s">
        <v>218</v>
      </c>
      <c r="K15">
        <v>0</v>
      </c>
      <c r="L15">
        <v>3270.9076</v>
      </c>
      <c r="M15" t="s">
        <v>105</v>
      </c>
      <c r="N15">
        <v>0</v>
      </c>
      <c r="O15">
        <v>67.015199999999993</v>
      </c>
    </row>
    <row r="16" spans="1:15" x14ac:dyDescent="0.2">
      <c r="A16">
        <v>20</v>
      </c>
      <c r="B16" t="s">
        <v>220</v>
      </c>
      <c r="C16" t="s">
        <v>22</v>
      </c>
      <c r="D16" t="s">
        <v>1</v>
      </c>
      <c r="E16">
        <v>0</v>
      </c>
      <c r="F16">
        <v>0.32790000000000002</v>
      </c>
      <c r="G16" t="s">
        <v>3</v>
      </c>
      <c r="H16">
        <v>0</v>
      </c>
      <c r="I16">
        <v>89.769000000000005</v>
      </c>
      <c r="J16" t="s">
        <v>218</v>
      </c>
      <c r="K16">
        <v>0</v>
      </c>
      <c r="L16">
        <v>3100.4198000000001</v>
      </c>
      <c r="M16" t="s">
        <v>105</v>
      </c>
      <c r="N16">
        <v>0</v>
      </c>
      <c r="O16">
        <v>59.180999999999997</v>
      </c>
    </row>
    <row r="17" spans="1:15" x14ac:dyDescent="0.2">
      <c r="A17">
        <v>22</v>
      </c>
      <c r="B17" t="s">
        <v>220</v>
      </c>
      <c r="C17" t="s">
        <v>24</v>
      </c>
      <c r="D17" t="s">
        <v>1</v>
      </c>
      <c r="E17">
        <v>0</v>
      </c>
      <c r="F17">
        <v>4.2409999999999997</v>
      </c>
      <c r="G17" t="s">
        <v>3</v>
      </c>
      <c r="H17">
        <v>0</v>
      </c>
      <c r="I17">
        <v>102.3</v>
      </c>
      <c r="J17" t="s">
        <v>218</v>
      </c>
      <c r="K17">
        <v>0</v>
      </c>
      <c r="L17">
        <v>3117.1192000000001</v>
      </c>
      <c r="M17" t="s">
        <v>105</v>
      </c>
      <c r="N17">
        <v>0</v>
      </c>
      <c r="O17">
        <v>65.548900000000003</v>
      </c>
    </row>
    <row r="18" spans="1:15" x14ac:dyDescent="0.2">
      <c r="A18">
        <v>24</v>
      </c>
      <c r="B18" t="s">
        <v>220</v>
      </c>
      <c r="C18" t="s">
        <v>26</v>
      </c>
      <c r="D18" t="s">
        <v>1</v>
      </c>
      <c r="E18">
        <v>0</v>
      </c>
      <c r="F18">
        <v>0.60440000000000005</v>
      </c>
      <c r="G18" t="s">
        <v>3</v>
      </c>
      <c r="H18">
        <v>0</v>
      </c>
      <c r="I18">
        <v>96.255499999999998</v>
      </c>
      <c r="J18" t="s">
        <v>218</v>
      </c>
      <c r="K18">
        <v>0</v>
      </c>
      <c r="L18">
        <v>3203.0542</v>
      </c>
      <c r="M18" t="s">
        <v>105</v>
      </c>
      <c r="N18">
        <v>0</v>
      </c>
      <c r="O18">
        <v>65.567999999999998</v>
      </c>
    </row>
    <row r="19" spans="1:15" x14ac:dyDescent="0.2">
      <c r="A19">
        <v>25</v>
      </c>
      <c r="B19" t="s">
        <v>220</v>
      </c>
      <c r="C19" t="s">
        <v>27</v>
      </c>
      <c r="D19" t="s">
        <v>1</v>
      </c>
      <c r="E19">
        <v>0</v>
      </c>
      <c r="F19">
        <v>0.34050000000000002</v>
      </c>
      <c r="G19" t="s">
        <v>3</v>
      </c>
      <c r="H19">
        <v>0</v>
      </c>
      <c r="I19">
        <v>83.866799999999998</v>
      </c>
      <c r="J19" t="s">
        <v>218</v>
      </c>
      <c r="K19">
        <v>0</v>
      </c>
      <c r="L19">
        <v>3105.1792</v>
      </c>
      <c r="M19" t="s">
        <v>105</v>
      </c>
      <c r="N19">
        <v>0</v>
      </c>
      <c r="O19">
        <v>53.984400000000001</v>
      </c>
    </row>
    <row r="20" spans="1:15" x14ac:dyDescent="0.2">
      <c r="A20">
        <v>26</v>
      </c>
      <c r="B20" t="s">
        <v>220</v>
      </c>
      <c r="C20" t="s">
        <v>28</v>
      </c>
      <c r="D20" t="s">
        <v>1</v>
      </c>
      <c r="E20">
        <v>0</v>
      </c>
      <c r="F20">
        <v>0.29320000000000002</v>
      </c>
      <c r="G20" t="s">
        <v>3</v>
      </c>
      <c r="H20">
        <v>0</v>
      </c>
      <c r="I20">
        <v>83.156800000000004</v>
      </c>
      <c r="J20" t="s">
        <v>218</v>
      </c>
      <c r="K20">
        <v>0</v>
      </c>
      <c r="L20">
        <v>3008.9679999999998</v>
      </c>
      <c r="M20" t="s">
        <v>105</v>
      </c>
      <c r="N20">
        <v>0</v>
      </c>
      <c r="O20">
        <v>54</v>
      </c>
    </row>
    <row r="21" spans="1:15" x14ac:dyDescent="0.2">
      <c r="A21">
        <v>28</v>
      </c>
      <c r="B21" t="s">
        <v>220</v>
      </c>
      <c r="C21" t="s">
        <v>30</v>
      </c>
      <c r="D21" t="s">
        <v>1</v>
      </c>
      <c r="E21">
        <v>0</v>
      </c>
      <c r="F21">
        <v>0.37569999999999998</v>
      </c>
      <c r="G21" t="s">
        <v>3</v>
      </c>
      <c r="H21">
        <v>0</v>
      </c>
      <c r="I21">
        <v>92.766999999999996</v>
      </c>
      <c r="J21" t="s">
        <v>218</v>
      </c>
      <c r="K21">
        <v>0</v>
      </c>
      <c r="L21">
        <v>3138.0347999999999</v>
      </c>
      <c r="M21" t="s">
        <v>105</v>
      </c>
      <c r="N21">
        <v>0</v>
      </c>
      <c r="O21">
        <v>58.904600000000002</v>
      </c>
    </row>
    <row r="22" spans="1:15" x14ac:dyDescent="0.2">
      <c r="A22">
        <v>30</v>
      </c>
      <c r="B22" t="s">
        <v>220</v>
      </c>
      <c r="C22" t="s">
        <v>32</v>
      </c>
      <c r="D22" t="s">
        <v>1</v>
      </c>
      <c r="E22">
        <v>0</v>
      </c>
      <c r="F22">
        <v>0.33339999999999997</v>
      </c>
      <c r="G22" t="s">
        <v>3</v>
      </c>
      <c r="H22">
        <v>0</v>
      </c>
      <c r="I22">
        <v>100.51130000000001</v>
      </c>
      <c r="J22" t="s">
        <v>218</v>
      </c>
      <c r="K22">
        <v>0</v>
      </c>
      <c r="L22">
        <v>3287.6048000000001</v>
      </c>
      <c r="M22" t="s">
        <v>105</v>
      </c>
      <c r="N22">
        <v>0</v>
      </c>
      <c r="O22">
        <v>65.589799999999997</v>
      </c>
    </row>
    <row r="23" spans="1:15" x14ac:dyDescent="0.2">
      <c r="A23">
        <v>32</v>
      </c>
      <c r="B23" t="s">
        <v>220</v>
      </c>
      <c r="C23" t="s">
        <v>34</v>
      </c>
      <c r="D23" t="s">
        <v>1</v>
      </c>
      <c r="E23">
        <v>0</v>
      </c>
      <c r="F23">
        <v>0.30320000000000003</v>
      </c>
      <c r="G23" t="s">
        <v>3</v>
      </c>
      <c r="H23">
        <v>0</v>
      </c>
      <c r="I23">
        <v>82.703999999999994</v>
      </c>
      <c r="J23" t="s">
        <v>218</v>
      </c>
      <c r="K23">
        <v>0</v>
      </c>
      <c r="L23">
        <v>3040.5718000000002</v>
      </c>
      <c r="M23" t="s">
        <v>105</v>
      </c>
      <c r="N23">
        <v>0</v>
      </c>
      <c r="O23">
        <v>56.8812</v>
      </c>
    </row>
    <row r="24" spans="1:15" x14ac:dyDescent="0.2">
      <c r="A24">
        <v>34</v>
      </c>
      <c r="B24" t="s">
        <v>220</v>
      </c>
      <c r="C24" t="s">
        <v>36</v>
      </c>
      <c r="D24" t="s">
        <v>1</v>
      </c>
      <c r="E24">
        <v>0</v>
      </c>
      <c r="F24">
        <v>0.36809999999999998</v>
      </c>
      <c r="G24" t="s">
        <v>3</v>
      </c>
      <c r="H24">
        <v>0</v>
      </c>
      <c r="I24">
        <v>113.83880000000001</v>
      </c>
      <c r="J24" t="s">
        <v>218</v>
      </c>
      <c r="K24">
        <v>0</v>
      </c>
      <c r="L24">
        <v>3436.4553999999998</v>
      </c>
      <c r="M24" t="s">
        <v>105</v>
      </c>
      <c r="N24">
        <v>0</v>
      </c>
      <c r="O24">
        <v>71.769800000000004</v>
      </c>
    </row>
    <row r="25" spans="1:15" x14ac:dyDescent="0.2">
      <c r="A25">
        <v>36</v>
      </c>
      <c r="B25" t="s">
        <v>220</v>
      </c>
      <c r="C25" t="s">
        <v>38</v>
      </c>
      <c r="D25" t="s">
        <v>1</v>
      </c>
      <c r="E25">
        <v>0</v>
      </c>
      <c r="F25">
        <v>0.34260000000000002</v>
      </c>
      <c r="G25" t="s">
        <v>3</v>
      </c>
      <c r="H25">
        <v>0</v>
      </c>
      <c r="I25">
        <v>94.351200000000006</v>
      </c>
      <c r="J25" t="s">
        <v>218</v>
      </c>
      <c r="K25">
        <v>0</v>
      </c>
      <c r="L25">
        <v>3170.4587999999999</v>
      </c>
      <c r="M25" t="s">
        <v>105</v>
      </c>
      <c r="N25">
        <v>0</v>
      </c>
      <c r="O25">
        <v>61.304000000000002</v>
      </c>
    </row>
    <row r="26" spans="1:15" x14ac:dyDescent="0.2">
      <c r="A26">
        <v>38</v>
      </c>
      <c r="B26" t="s">
        <v>220</v>
      </c>
      <c r="C26" t="s">
        <v>40</v>
      </c>
      <c r="D26" t="s">
        <v>1</v>
      </c>
      <c r="E26">
        <v>0</v>
      </c>
      <c r="F26">
        <v>0.3024</v>
      </c>
      <c r="G26" t="s">
        <v>3</v>
      </c>
      <c r="H26">
        <v>0</v>
      </c>
      <c r="I26">
        <v>91.697400000000002</v>
      </c>
      <c r="J26" t="s">
        <v>218</v>
      </c>
      <c r="K26">
        <v>0</v>
      </c>
      <c r="L26">
        <v>3112.8009999999999</v>
      </c>
      <c r="M26" t="s">
        <v>105</v>
      </c>
      <c r="N26">
        <v>0</v>
      </c>
      <c r="O26">
        <v>61.119700000000002</v>
      </c>
    </row>
    <row r="27" spans="1:15" x14ac:dyDescent="0.2">
      <c r="A27">
        <v>40</v>
      </c>
      <c r="B27" t="s">
        <v>220</v>
      </c>
      <c r="C27" t="s">
        <v>42</v>
      </c>
      <c r="D27" t="s">
        <v>1</v>
      </c>
      <c r="E27">
        <v>0</v>
      </c>
      <c r="F27">
        <v>0.66390000000000005</v>
      </c>
      <c r="G27" t="s">
        <v>3</v>
      </c>
      <c r="H27">
        <v>0</v>
      </c>
      <c r="I27">
        <v>96.959699999999998</v>
      </c>
      <c r="J27" t="s">
        <v>218</v>
      </c>
      <c r="K27">
        <v>0</v>
      </c>
      <c r="L27">
        <v>3160.1660999999999</v>
      </c>
      <c r="M27" t="s">
        <v>105</v>
      </c>
      <c r="N27">
        <v>0</v>
      </c>
      <c r="O27">
        <v>64.434799999999996</v>
      </c>
    </row>
    <row r="28" spans="1:15" x14ac:dyDescent="0.2">
      <c r="A28">
        <v>41</v>
      </c>
      <c r="B28" t="s">
        <v>220</v>
      </c>
      <c r="C28" t="s">
        <v>43</v>
      </c>
      <c r="D28" t="s">
        <v>1</v>
      </c>
      <c r="E28">
        <v>0</v>
      </c>
      <c r="F28">
        <v>0.35060000000000002</v>
      </c>
      <c r="G28" t="s">
        <v>3</v>
      </c>
      <c r="H28">
        <v>0</v>
      </c>
      <c r="I28">
        <v>85.244200000000006</v>
      </c>
      <c r="J28" t="s">
        <v>218</v>
      </c>
      <c r="K28">
        <v>0</v>
      </c>
      <c r="L28">
        <v>3043.8357999999998</v>
      </c>
      <c r="M28" t="s">
        <v>105</v>
      </c>
      <c r="N28">
        <v>0</v>
      </c>
      <c r="O28">
        <v>55.087600000000002</v>
      </c>
    </row>
    <row r="29" spans="1:15" x14ac:dyDescent="0.2">
      <c r="A29">
        <v>42</v>
      </c>
      <c r="B29" t="s">
        <v>220</v>
      </c>
      <c r="C29" t="s">
        <v>44</v>
      </c>
      <c r="D29" t="s">
        <v>1</v>
      </c>
      <c r="E29">
        <v>0</v>
      </c>
      <c r="F29">
        <v>0.33900000000000002</v>
      </c>
      <c r="G29" t="s">
        <v>3</v>
      </c>
      <c r="H29">
        <v>0</v>
      </c>
      <c r="I29">
        <v>83.067400000000006</v>
      </c>
      <c r="J29" t="s">
        <v>218</v>
      </c>
      <c r="K29">
        <v>0</v>
      </c>
      <c r="L29">
        <v>3033.1812</v>
      </c>
      <c r="M29" t="s">
        <v>105</v>
      </c>
      <c r="N29">
        <v>0</v>
      </c>
      <c r="O29">
        <v>56.005800000000001</v>
      </c>
    </row>
    <row r="30" spans="1:15" x14ac:dyDescent="0.2">
      <c r="A30">
        <v>44</v>
      </c>
      <c r="B30" t="s">
        <v>220</v>
      </c>
      <c r="C30" t="s">
        <v>46</v>
      </c>
      <c r="D30" t="s">
        <v>1</v>
      </c>
      <c r="E30">
        <v>0</v>
      </c>
      <c r="F30">
        <v>0.35420000000000001</v>
      </c>
      <c r="G30" t="s">
        <v>3</v>
      </c>
      <c r="H30">
        <v>0</v>
      </c>
      <c r="I30">
        <v>91.253299999999996</v>
      </c>
      <c r="J30" t="s">
        <v>218</v>
      </c>
      <c r="K30">
        <v>0</v>
      </c>
      <c r="L30">
        <v>3132.6714999999999</v>
      </c>
      <c r="M30" t="s">
        <v>105</v>
      </c>
      <c r="N30">
        <v>0</v>
      </c>
      <c r="O30">
        <v>58.829000000000001</v>
      </c>
    </row>
    <row r="31" spans="1:15" x14ac:dyDescent="0.2">
      <c r="A31">
        <v>46</v>
      </c>
      <c r="B31" t="s">
        <v>220</v>
      </c>
      <c r="C31" t="s">
        <v>48</v>
      </c>
      <c r="D31" t="s">
        <v>1</v>
      </c>
      <c r="E31">
        <v>0</v>
      </c>
      <c r="F31">
        <v>0.31690000000000002</v>
      </c>
      <c r="G31" t="s">
        <v>3</v>
      </c>
      <c r="H31">
        <v>0</v>
      </c>
      <c r="I31">
        <v>89.961399999999998</v>
      </c>
      <c r="J31" t="s">
        <v>218</v>
      </c>
      <c r="K31">
        <v>0</v>
      </c>
      <c r="L31">
        <v>3084.7341000000001</v>
      </c>
      <c r="M31" t="s">
        <v>105</v>
      </c>
      <c r="N31">
        <v>0</v>
      </c>
      <c r="O31">
        <v>57.880800000000001</v>
      </c>
    </row>
    <row r="32" spans="1:15" x14ac:dyDescent="0.2">
      <c r="A32">
        <v>48</v>
      </c>
      <c r="B32" t="s">
        <v>220</v>
      </c>
      <c r="C32" t="s">
        <v>50</v>
      </c>
      <c r="D32" t="s">
        <v>1</v>
      </c>
      <c r="E32">
        <v>0</v>
      </c>
      <c r="F32">
        <v>0.33389999999999997</v>
      </c>
      <c r="G32" t="s">
        <v>3</v>
      </c>
      <c r="H32">
        <v>0</v>
      </c>
      <c r="I32">
        <v>85.299599999999998</v>
      </c>
      <c r="J32" t="s">
        <v>218</v>
      </c>
      <c r="K32">
        <v>0</v>
      </c>
      <c r="L32">
        <v>3052.8847000000001</v>
      </c>
      <c r="M32" t="s">
        <v>105</v>
      </c>
      <c r="N32">
        <v>0</v>
      </c>
      <c r="O32">
        <v>53.089399999999998</v>
      </c>
    </row>
    <row r="33" spans="1:15" x14ac:dyDescent="0.2">
      <c r="A33">
        <v>50</v>
      </c>
      <c r="B33" t="s">
        <v>220</v>
      </c>
      <c r="C33" t="s">
        <v>52</v>
      </c>
      <c r="D33" t="s">
        <v>1</v>
      </c>
      <c r="E33">
        <v>0</v>
      </c>
      <c r="F33">
        <v>0.3523</v>
      </c>
      <c r="G33" t="s">
        <v>3</v>
      </c>
      <c r="H33">
        <v>0</v>
      </c>
      <c r="I33">
        <v>98.528700000000001</v>
      </c>
      <c r="J33" t="s">
        <v>218</v>
      </c>
      <c r="K33">
        <v>0</v>
      </c>
      <c r="L33">
        <v>3333.4515999999999</v>
      </c>
      <c r="M33" t="s">
        <v>105</v>
      </c>
      <c r="N33">
        <v>0</v>
      </c>
      <c r="O33">
        <v>65.631500000000003</v>
      </c>
    </row>
    <row r="34" spans="1:15" x14ac:dyDescent="0.2">
      <c r="A34">
        <v>52</v>
      </c>
      <c r="B34" t="s">
        <v>220</v>
      </c>
      <c r="C34" t="s">
        <v>54</v>
      </c>
      <c r="D34" t="s">
        <v>1</v>
      </c>
      <c r="E34">
        <v>0</v>
      </c>
      <c r="F34">
        <v>0.35470000000000002</v>
      </c>
      <c r="G34" t="s">
        <v>3</v>
      </c>
      <c r="H34">
        <v>0</v>
      </c>
      <c r="I34">
        <v>88.192499999999995</v>
      </c>
      <c r="J34" t="s">
        <v>218</v>
      </c>
      <c r="K34">
        <v>0</v>
      </c>
      <c r="L34">
        <v>3169.5426000000002</v>
      </c>
      <c r="M34" t="s">
        <v>105</v>
      </c>
      <c r="N34">
        <v>0</v>
      </c>
      <c r="O34">
        <v>56.757199999999997</v>
      </c>
    </row>
    <row r="35" spans="1:15" x14ac:dyDescent="0.2">
      <c r="A35">
        <v>54</v>
      </c>
      <c r="B35" t="s">
        <v>220</v>
      </c>
      <c r="C35" t="s">
        <v>56</v>
      </c>
      <c r="D35" t="s">
        <v>1</v>
      </c>
      <c r="E35">
        <v>0</v>
      </c>
      <c r="F35">
        <v>0.35239999999999999</v>
      </c>
      <c r="G35" t="s">
        <v>3</v>
      </c>
      <c r="H35">
        <v>0</v>
      </c>
      <c r="I35">
        <v>101.1888</v>
      </c>
      <c r="J35" t="s">
        <v>218</v>
      </c>
      <c r="K35">
        <v>0</v>
      </c>
      <c r="L35">
        <v>3285.3402000000001</v>
      </c>
      <c r="M35" t="s">
        <v>105</v>
      </c>
      <c r="N35">
        <v>0</v>
      </c>
      <c r="O35">
        <v>66.452399999999997</v>
      </c>
    </row>
    <row r="36" spans="1:15" x14ac:dyDescent="0.2">
      <c r="A36">
        <v>56</v>
      </c>
      <c r="B36" t="s">
        <v>220</v>
      </c>
      <c r="C36" t="s">
        <v>58</v>
      </c>
      <c r="D36" t="s">
        <v>1</v>
      </c>
      <c r="E36">
        <v>0</v>
      </c>
      <c r="F36">
        <v>0.40379999999999999</v>
      </c>
      <c r="G36" t="s">
        <v>3</v>
      </c>
      <c r="H36">
        <v>0</v>
      </c>
      <c r="I36">
        <v>107.63209999999999</v>
      </c>
      <c r="J36" t="s">
        <v>218</v>
      </c>
      <c r="K36">
        <v>0</v>
      </c>
      <c r="L36">
        <v>3428.1014</v>
      </c>
      <c r="M36" t="s">
        <v>105</v>
      </c>
      <c r="N36">
        <v>0</v>
      </c>
      <c r="O36">
        <v>74.522599999999997</v>
      </c>
    </row>
    <row r="37" spans="1:15" x14ac:dyDescent="0.2">
      <c r="A37">
        <v>57</v>
      </c>
      <c r="B37" t="s">
        <v>220</v>
      </c>
      <c r="C37" t="s">
        <v>59</v>
      </c>
      <c r="D37" t="s">
        <v>1</v>
      </c>
      <c r="E37">
        <v>0</v>
      </c>
      <c r="F37">
        <v>0.34279999999999999</v>
      </c>
      <c r="G37" t="s">
        <v>3</v>
      </c>
      <c r="H37">
        <v>0</v>
      </c>
      <c r="I37">
        <v>96.094399999999993</v>
      </c>
      <c r="J37" t="s">
        <v>218</v>
      </c>
      <c r="K37">
        <v>0</v>
      </c>
      <c r="L37">
        <v>3248.6296000000002</v>
      </c>
      <c r="M37" t="s">
        <v>105</v>
      </c>
      <c r="N37">
        <v>0</v>
      </c>
      <c r="O37">
        <v>67.206699999999998</v>
      </c>
    </row>
    <row r="38" spans="1:15" x14ac:dyDescent="0.2">
      <c r="A38">
        <v>58</v>
      </c>
      <c r="B38" t="s">
        <v>220</v>
      </c>
      <c r="C38" t="s">
        <v>60</v>
      </c>
      <c r="D38" t="s">
        <v>1</v>
      </c>
      <c r="E38">
        <v>0</v>
      </c>
      <c r="F38">
        <v>0.30869999999999997</v>
      </c>
      <c r="G38" t="s">
        <v>3</v>
      </c>
      <c r="H38">
        <v>0</v>
      </c>
      <c r="I38">
        <v>78.263300000000001</v>
      </c>
      <c r="J38" t="s">
        <v>218</v>
      </c>
      <c r="K38">
        <v>0</v>
      </c>
      <c r="L38">
        <v>2907.4463000000001</v>
      </c>
      <c r="M38" t="s">
        <v>105</v>
      </c>
      <c r="N38">
        <v>0</v>
      </c>
      <c r="O38">
        <v>51.684399999999997</v>
      </c>
    </row>
    <row r="39" spans="1:15" x14ac:dyDescent="0.2">
      <c r="A39">
        <v>59</v>
      </c>
      <c r="B39" t="s">
        <v>220</v>
      </c>
      <c r="C39" t="s">
        <v>61</v>
      </c>
      <c r="D39" t="s">
        <v>1</v>
      </c>
      <c r="E39">
        <v>0</v>
      </c>
      <c r="F39">
        <v>0.4</v>
      </c>
      <c r="G39" t="s">
        <v>3</v>
      </c>
      <c r="H39">
        <v>0</v>
      </c>
      <c r="I39">
        <v>101.9462</v>
      </c>
      <c r="J39" t="s">
        <v>218</v>
      </c>
      <c r="K39">
        <v>0</v>
      </c>
      <c r="L39">
        <v>3176.2168000000001</v>
      </c>
      <c r="M39" t="s">
        <v>105</v>
      </c>
      <c r="N39">
        <v>0</v>
      </c>
      <c r="O39">
        <v>67.531499999999994</v>
      </c>
    </row>
    <row r="40" spans="1:15" x14ac:dyDescent="0.2">
      <c r="A40">
        <v>60</v>
      </c>
      <c r="B40" t="s">
        <v>220</v>
      </c>
      <c r="C40" t="s">
        <v>62</v>
      </c>
      <c r="D40" t="s">
        <v>1</v>
      </c>
      <c r="E40">
        <v>0</v>
      </c>
      <c r="F40">
        <v>0.28320000000000001</v>
      </c>
      <c r="G40" t="s">
        <v>3</v>
      </c>
      <c r="H40">
        <v>0</v>
      </c>
      <c r="I40">
        <v>89.128200000000007</v>
      </c>
      <c r="J40" t="s">
        <v>218</v>
      </c>
      <c r="K40">
        <v>0</v>
      </c>
      <c r="L40">
        <v>3127.8015</v>
      </c>
      <c r="M40" t="s">
        <v>105</v>
      </c>
      <c r="N40">
        <v>0</v>
      </c>
      <c r="O40">
        <v>64.650300000000001</v>
      </c>
    </row>
    <row r="41" spans="1:15" x14ac:dyDescent="0.2">
      <c r="A41">
        <v>62</v>
      </c>
      <c r="B41" t="s">
        <v>220</v>
      </c>
      <c r="C41" t="s">
        <v>64</v>
      </c>
      <c r="D41" t="s">
        <v>1</v>
      </c>
      <c r="E41">
        <v>0</v>
      </c>
      <c r="F41">
        <v>0.32850000000000001</v>
      </c>
      <c r="G41" t="s">
        <v>3</v>
      </c>
      <c r="H41">
        <v>0</v>
      </c>
      <c r="I41">
        <v>86.299000000000007</v>
      </c>
      <c r="J41" t="s">
        <v>218</v>
      </c>
      <c r="K41">
        <v>0</v>
      </c>
      <c r="L41">
        <v>3096.3404</v>
      </c>
      <c r="M41" t="s">
        <v>105</v>
      </c>
      <c r="N41">
        <v>0</v>
      </c>
      <c r="O41">
        <v>56.360599999999998</v>
      </c>
    </row>
    <row r="42" spans="1:15" x14ac:dyDescent="0.2">
      <c r="A42">
        <v>64</v>
      </c>
      <c r="B42" t="s">
        <v>220</v>
      </c>
      <c r="C42" t="s">
        <v>66</v>
      </c>
      <c r="D42" t="s">
        <v>1</v>
      </c>
      <c r="E42">
        <v>0</v>
      </c>
      <c r="F42">
        <v>0.308</v>
      </c>
      <c r="G42" t="s">
        <v>3</v>
      </c>
      <c r="H42">
        <v>0</v>
      </c>
      <c r="I42">
        <v>88.615200000000002</v>
      </c>
      <c r="J42" t="s">
        <v>218</v>
      </c>
      <c r="K42">
        <v>0</v>
      </c>
      <c r="L42">
        <v>3099.4259000000002</v>
      </c>
      <c r="M42" t="s">
        <v>105</v>
      </c>
      <c r="N42">
        <v>0</v>
      </c>
      <c r="O42">
        <v>57.816800000000001</v>
      </c>
    </row>
    <row r="43" spans="1:15" x14ac:dyDescent="0.2">
      <c r="A43">
        <v>66</v>
      </c>
      <c r="B43" t="s">
        <v>220</v>
      </c>
      <c r="C43" t="s">
        <v>68</v>
      </c>
      <c r="D43" t="s">
        <v>1</v>
      </c>
      <c r="E43">
        <v>0</v>
      </c>
      <c r="F43">
        <v>0.30370000000000003</v>
      </c>
      <c r="G43" t="s">
        <v>3</v>
      </c>
      <c r="H43">
        <v>0</v>
      </c>
      <c r="I43">
        <v>82.586299999999994</v>
      </c>
      <c r="J43" t="s">
        <v>218</v>
      </c>
      <c r="K43">
        <v>0</v>
      </c>
      <c r="L43">
        <v>3089.3701999999998</v>
      </c>
      <c r="M43" t="s">
        <v>105</v>
      </c>
      <c r="N43">
        <v>0</v>
      </c>
      <c r="O43">
        <v>49.889000000000003</v>
      </c>
    </row>
    <row r="44" spans="1:15" x14ac:dyDescent="0.2">
      <c r="A44">
        <v>68</v>
      </c>
      <c r="B44" t="s">
        <v>220</v>
      </c>
      <c r="C44" t="s">
        <v>70</v>
      </c>
      <c r="D44" t="s">
        <v>1</v>
      </c>
      <c r="E44">
        <v>0</v>
      </c>
      <c r="F44">
        <v>0.41860000000000003</v>
      </c>
      <c r="G44" t="s">
        <v>3</v>
      </c>
      <c r="H44">
        <v>0</v>
      </c>
      <c r="I44">
        <v>123.9372</v>
      </c>
      <c r="J44" t="s">
        <v>218</v>
      </c>
      <c r="K44">
        <v>0</v>
      </c>
      <c r="L44">
        <v>3576.9645999999998</v>
      </c>
      <c r="M44" t="s">
        <v>105</v>
      </c>
      <c r="N44">
        <v>0</v>
      </c>
      <c r="O44">
        <v>80.011499999999998</v>
      </c>
    </row>
    <row r="45" spans="1:15" x14ac:dyDescent="0.2">
      <c r="A45">
        <v>70</v>
      </c>
      <c r="B45" t="s">
        <v>220</v>
      </c>
      <c r="C45" t="s">
        <v>72</v>
      </c>
      <c r="D45" t="s">
        <v>1</v>
      </c>
      <c r="E45">
        <v>0</v>
      </c>
      <c r="F45">
        <v>0.34639999999999999</v>
      </c>
      <c r="G45" t="s">
        <v>3</v>
      </c>
      <c r="H45">
        <v>0</v>
      </c>
      <c r="I45">
        <v>97.621399999999994</v>
      </c>
      <c r="J45" t="s">
        <v>218</v>
      </c>
      <c r="K45">
        <v>0</v>
      </c>
      <c r="L45">
        <v>3290.78</v>
      </c>
      <c r="M45" t="s">
        <v>105</v>
      </c>
      <c r="N45">
        <v>0</v>
      </c>
      <c r="O45">
        <v>62.051699999999997</v>
      </c>
    </row>
    <row r="46" spans="1:15" x14ac:dyDescent="0.2">
      <c r="A46">
        <v>71</v>
      </c>
      <c r="B46" t="s">
        <v>220</v>
      </c>
      <c r="C46" t="s">
        <v>73</v>
      </c>
      <c r="D46" t="s">
        <v>1</v>
      </c>
      <c r="E46">
        <v>0</v>
      </c>
      <c r="F46">
        <v>0.35680000000000001</v>
      </c>
      <c r="G46" t="s">
        <v>3</v>
      </c>
      <c r="H46">
        <v>0</v>
      </c>
      <c r="I46">
        <v>101.9106</v>
      </c>
      <c r="J46" t="s">
        <v>218</v>
      </c>
      <c r="K46">
        <v>0</v>
      </c>
      <c r="L46">
        <v>3371.4333999999999</v>
      </c>
      <c r="M46" t="s">
        <v>105</v>
      </c>
      <c r="N46">
        <v>0</v>
      </c>
      <c r="O46">
        <v>65.498699999999999</v>
      </c>
    </row>
    <row r="47" spans="1:15" x14ac:dyDescent="0.2">
      <c r="A47">
        <v>72</v>
      </c>
      <c r="B47" t="s">
        <v>220</v>
      </c>
      <c r="C47" t="s">
        <v>74</v>
      </c>
      <c r="D47" t="s">
        <v>1</v>
      </c>
      <c r="E47">
        <v>0</v>
      </c>
      <c r="F47">
        <v>0.3538</v>
      </c>
      <c r="G47" t="s">
        <v>3</v>
      </c>
      <c r="H47">
        <v>0</v>
      </c>
      <c r="I47">
        <v>94.256799999999998</v>
      </c>
      <c r="J47" t="s">
        <v>218</v>
      </c>
      <c r="K47">
        <v>0</v>
      </c>
      <c r="L47">
        <v>3091.5128</v>
      </c>
      <c r="M47" t="s">
        <v>105</v>
      </c>
      <c r="N47">
        <v>0</v>
      </c>
      <c r="O47">
        <v>63.225200000000001</v>
      </c>
    </row>
    <row r="48" spans="1:15" x14ac:dyDescent="0.2">
      <c r="A48">
        <v>74</v>
      </c>
      <c r="B48" t="s">
        <v>220</v>
      </c>
      <c r="C48" t="s">
        <v>76</v>
      </c>
      <c r="D48" t="s">
        <v>1</v>
      </c>
      <c r="E48">
        <v>0</v>
      </c>
      <c r="F48">
        <v>0.34560000000000002</v>
      </c>
      <c r="G48" t="s">
        <v>3</v>
      </c>
      <c r="H48">
        <v>0</v>
      </c>
      <c r="I48">
        <v>86.587999999999994</v>
      </c>
      <c r="J48" t="s">
        <v>218</v>
      </c>
      <c r="K48">
        <v>0</v>
      </c>
      <c r="L48">
        <v>3051.8824</v>
      </c>
      <c r="M48" t="s">
        <v>105</v>
      </c>
      <c r="N48">
        <v>0</v>
      </c>
      <c r="O48">
        <v>52.705399999999997</v>
      </c>
    </row>
    <row r="49" spans="1:15" x14ac:dyDescent="0.2">
      <c r="A49">
        <v>76</v>
      </c>
      <c r="B49" t="s">
        <v>220</v>
      </c>
      <c r="C49" t="s">
        <v>78</v>
      </c>
      <c r="D49" t="s">
        <v>1</v>
      </c>
      <c r="E49">
        <v>0</v>
      </c>
      <c r="F49">
        <v>0.41920000000000002</v>
      </c>
      <c r="G49" t="s">
        <v>3</v>
      </c>
      <c r="H49">
        <v>0</v>
      </c>
      <c r="I49">
        <v>103.2186</v>
      </c>
      <c r="J49" t="s">
        <v>218</v>
      </c>
      <c r="K49">
        <v>0</v>
      </c>
      <c r="L49">
        <v>3270.3069999999998</v>
      </c>
      <c r="M49" t="s">
        <v>105</v>
      </c>
      <c r="N49">
        <v>0</v>
      </c>
      <c r="O49">
        <v>69.677999999999997</v>
      </c>
    </row>
    <row r="50" spans="1:15" x14ac:dyDescent="0.2">
      <c r="A50">
        <v>78</v>
      </c>
      <c r="B50" t="s">
        <v>220</v>
      </c>
      <c r="C50" t="s">
        <v>80</v>
      </c>
      <c r="D50" t="s">
        <v>1</v>
      </c>
      <c r="E50">
        <v>0</v>
      </c>
      <c r="F50">
        <v>0.32169999999999999</v>
      </c>
      <c r="G50" t="s">
        <v>3</v>
      </c>
      <c r="H50">
        <v>0</v>
      </c>
      <c r="I50">
        <v>89.021000000000001</v>
      </c>
      <c r="J50" t="s">
        <v>218</v>
      </c>
      <c r="K50">
        <v>0</v>
      </c>
      <c r="L50">
        <v>3113.6203999999998</v>
      </c>
      <c r="M50" t="s">
        <v>105</v>
      </c>
      <c r="N50">
        <v>0</v>
      </c>
      <c r="O50">
        <v>59.3508</v>
      </c>
    </row>
    <row r="51" spans="1:15" x14ac:dyDescent="0.2">
      <c r="A51">
        <v>80</v>
      </c>
      <c r="B51" t="s">
        <v>220</v>
      </c>
      <c r="C51" t="s">
        <v>82</v>
      </c>
      <c r="D51" t="s">
        <v>1</v>
      </c>
      <c r="E51">
        <v>0</v>
      </c>
      <c r="F51">
        <v>0.34899999999999998</v>
      </c>
      <c r="G51" t="s">
        <v>3</v>
      </c>
      <c r="H51">
        <v>0</v>
      </c>
      <c r="I51">
        <v>98.411600000000007</v>
      </c>
      <c r="J51" t="s">
        <v>218</v>
      </c>
      <c r="K51">
        <v>0</v>
      </c>
      <c r="L51">
        <v>3174.0236</v>
      </c>
      <c r="M51" t="s">
        <v>105</v>
      </c>
      <c r="N51">
        <v>0</v>
      </c>
      <c r="O51">
        <v>64.854100000000003</v>
      </c>
    </row>
    <row r="52" spans="1:15" x14ac:dyDescent="0.2">
      <c r="A52">
        <v>82</v>
      </c>
      <c r="B52" t="s">
        <v>220</v>
      </c>
      <c r="C52" t="s">
        <v>84</v>
      </c>
      <c r="D52" t="s">
        <v>1</v>
      </c>
      <c r="E52">
        <v>0</v>
      </c>
      <c r="F52">
        <v>0.32390000000000002</v>
      </c>
      <c r="G52" t="s">
        <v>3</v>
      </c>
      <c r="H52">
        <v>0</v>
      </c>
      <c r="I52">
        <v>88.744399999999999</v>
      </c>
      <c r="J52" t="s">
        <v>218</v>
      </c>
      <c r="K52">
        <v>0</v>
      </c>
      <c r="L52">
        <v>3064.3987999999999</v>
      </c>
      <c r="M52" t="s">
        <v>105</v>
      </c>
      <c r="N52">
        <v>0</v>
      </c>
      <c r="O52">
        <v>60.067799999999998</v>
      </c>
    </row>
    <row r="53" spans="1:15" x14ac:dyDescent="0.2">
      <c r="A53">
        <v>84</v>
      </c>
      <c r="B53" t="s">
        <v>220</v>
      </c>
      <c r="C53" t="s">
        <v>86</v>
      </c>
      <c r="D53" t="s">
        <v>1</v>
      </c>
      <c r="E53">
        <v>0</v>
      </c>
      <c r="F53">
        <v>0.31890000000000002</v>
      </c>
      <c r="G53" t="s">
        <v>3</v>
      </c>
      <c r="H53">
        <v>0</v>
      </c>
      <c r="I53">
        <v>81.2821</v>
      </c>
      <c r="J53" t="s">
        <v>218</v>
      </c>
      <c r="K53">
        <v>0</v>
      </c>
      <c r="L53">
        <v>3026.0160000000001</v>
      </c>
      <c r="M53" t="s">
        <v>105</v>
      </c>
      <c r="N53">
        <v>0</v>
      </c>
      <c r="O53">
        <v>53.655200000000001</v>
      </c>
    </row>
    <row r="54" spans="1:15" x14ac:dyDescent="0.2">
      <c r="A54">
        <v>86</v>
      </c>
      <c r="B54" t="s">
        <v>220</v>
      </c>
      <c r="C54" t="s">
        <v>88</v>
      </c>
      <c r="D54" t="s">
        <v>1</v>
      </c>
      <c r="E54">
        <v>0</v>
      </c>
      <c r="F54">
        <v>0.37740000000000001</v>
      </c>
      <c r="G54" t="s">
        <v>3</v>
      </c>
      <c r="H54">
        <v>0</v>
      </c>
      <c r="I54">
        <v>102.026</v>
      </c>
      <c r="J54" t="s">
        <v>218</v>
      </c>
      <c r="K54">
        <v>0</v>
      </c>
      <c r="L54">
        <v>3340.2469999999998</v>
      </c>
      <c r="M54" t="s">
        <v>105</v>
      </c>
      <c r="N54">
        <v>0</v>
      </c>
      <c r="O54">
        <v>72.131399999999999</v>
      </c>
    </row>
    <row r="55" spans="1:15" x14ac:dyDescent="0.2">
      <c r="A55">
        <v>87</v>
      </c>
      <c r="B55" t="s">
        <v>220</v>
      </c>
      <c r="C55" t="s">
        <v>89</v>
      </c>
      <c r="D55" t="s">
        <v>1</v>
      </c>
      <c r="E55">
        <v>0</v>
      </c>
      <c r="F55">
        <v>0.38779999999999998</v>
      </c>
      <c r="G55" t="s">
        <v>3</v>
      </c>
      <c r="H55">
        <v>0</v>
      </c>
      <c r="I55">
        <v>106.52760000000001</v>
      </c>
      <c r="J55" t="s">
        <v>218</v>
      </c>
      <c r="K55">
        <v>0</v>
      </c>
      <c r="L55">
        <v>3474.0834</v>
      </c>
      <c r="M55" t="s">
        <v>105</v>
      </c>
      <c r="N55">
        <v>0</v>
      </c>
      <c r="O55">
        <v>76.017600000000002</v>
      </c>
    </row>
    <row r="56" spans="1:15" x14ac:dyDescent="0.2">
      <c r="A56">
        <v>88</v>
      </c>
      <c r="B56" t="s">
        <v>220</v>
      </c>
      <c r="C56" t="s">
        <v>90</v>
      </c>
      <c r="D56" t="s">
        <v>1</v>
      </c>
      <c r="E56">
        <v>0</v>
      </c>
      <c r="F56">
        <v>0.32390000000000002</v>
      </c>
      <c r="G56" t="s">
        <v>3</v>
      </c>
      <c r="H56">
        <v>0</v>
      </c>
      <c r="I56">
        <v>88.330500000000001</v>
      </c>
      <c r="J56" t="s">
        <v>218</v>
      </c>
      <c r="K56">
        <v>0</v>
      </c>
      <c r="L56">
        <v>3099.9958999999999</v>
      </c>
      <c r="M56" t="s">
        <v>105</v>
      </c>
      <c r="N56">
        <v>0</v>
      </c>
      <c r="O56">
        <v>57.478000000000002</v>
      </c>
    </row>
    <row r="57" spans="1:15" x14ac:dyDescent="0.2">
      <c r="A57">
        <v>90</v>
      </c>
      <c r="B57" t="s">
        <v>220</v>
      </c>
      <c r="C57" t="s">
        <v>92</v>
      </c>
      <c r="D57" t="s">
        <v>1</v>
      </c>
      <c r="E57">
        <v>0</v>
      </c>
      <c r="F57">
        <v>0.29199999999999998</v>
      </c>
      <c r="G57" t="s">
        <v>3</v>
      </c>
      <c r="H57">
        <v>0</v>
      </c>
      <c r="I57">
        <v>83.956400000000002</v>
      </c>
      <c r="J57" t="s">
        <v>218</v>
      </c>
      <c r="K57">
        <v>0</v>
      </c>
      <c r="L57">
        <v>3046.4322000000002</v>
      </c>
      <c r="M57" t="s">
        <v>105</v>
      </c>
      <c r="N57">
        <v>0</v>
      </c>
      <c r="O57">
        <v>54.569099999999999</v>
      </c>
    </row>
    <row r="58" spans="1:15" x14ac:dyDescent="0.2">
      <c r="A58">
        <v>92</v>
      </c>
      <c r="B58" t="s">
        <v>220</v>
      </c>
      <c r="C58" t="s">
        <v>94</v>
      </c>
      <c r="D58" t="s">
        <v>1</v>
      </c>
      <c r="E58">
        <v>0</v>
      </c>
      <c r="F58">
        <v>0.36120000000000002</v>
      </c>
      <c r="G58" t="s">
        <v>3</v>
      </c>
      <c r="H58">
        <v>0</v>
      </c>
      <c r="I58">
        <v>96.009799999999998</v>
      </c>
      <c r="J58" t="s">
        <v>218</v>
      </c>
      <c r="K58">
        <v>0</v>
      </c>
      <c r="L58">
        <v>3297.3580999999999</v>
      </c>
      <c r="M58" t="s">
        <v>105</v>
      </c>
      <c r="N58">
        <v>0</v>
      </c>
      <c r="O58">
        <v>62.139499999999998</v>
      </c>
    </row>
    <row r="59" spans="1:15" x14ac:dyDescent="0.2">
      <c r="A59">
        <v>94</v>
      </c>
      <c r="B59" t="s">
        <v>220</v>
      </c>
      <c r="C59" t="s">
        <v>96</v>
      </c>
      <c r="D59" t="s">
        <v>1</v>
      </c>
      <c r="E59">
        <v>0</v>
      </c>
      <c r="F59">
        <v>0.32969999999999999</v>
      </c>
      <c r="G59" t="s">
        <v>3</v>
      </c>
      <c r="H59">
        <v>0</v>
      </c>
      <c r="I59">
        <v>87.2988</v>
      </c>
      <c r="J59" t="s">
        <v>218</v>
      </c>
      <c r="K59">
        <v>0</v>
      </c>
      <c r="L59">
        <v>3171.4245999999998</v>
      </c>
      <c r="M59" t="s">
        <v>105</v>
      </c>
      <c r="N59">
        <v>0</v>
      </c>
      <c r="O59">
        <v>55.408999999999999</v>
      </c>
    </row>
    <row r="60" spans="1:15" x14ac:dyDescent="0.2">
      <c r="A60">
        <v>96</v>
      </c>
      <c r="B60" t="s">
        <v>220</v>
      </c>
      <c r="C60" t="s">
        <v>98</v>
      </c>
      <c r="D60" t="s">
        <v>1</v>
      </c>
      <c r="E60">
        <v>0</v>
      </c>
      <c r="F60">
        <v>0.31259999999999999</v>
      </c>
      <c r="G60" t="s">
        <v>3</v>
      </c>
      <c r="H60">
        <v>0</v>
      </c>
      <c r="I60">
        <v>87.896000000000001</v>
      </c>
      <c r="J60" t="s">
        <v>218</v>
      </c>
      <c r="K60">
        <v>0</v>
      </c>
      <c r="L60">
        <v>3183.7797999999998</v>
      </c>
      <c r="M60" t="s">
        <v>105</v>
      </c>
      <c r="N60">
        <v>0</v>
      </c>
      <c r="O60">
        <v>53.1646</v>
      </c>
    </row>
    <row r="61" spans="1:15" x14ac:dyDescent="0.2">
      <c r="A61">
        <v>98</v>
      </c>
      <c r="B61" t="s">
        <v>220</v>
      </c>
      <c r="C61" t="s">
        <v>100</v>
      </c>
      <c r="D61" t="s">
        <v>1</v>
      </c>
      <c r="E61">
        <v>0</v>
      </c>
      <c r="F61">
        <v>0.29759999999999998</v>
      </c>
      <c r="G61" t="s">
        <v>3</v>
      </c>
      <c r="H61">
        <v>0</v>
      </c>
      <c r="I61">
        <v>71.777900000000002</v>
      </c>
      <c r="J61" t="s">
        <v>218</v>
      </c>
      <c r="K61">
        <v>0</v>
      </c>
      <c r="L61">
        <v>2731.3242</v>
      </c>
      <c r="M61" t="s">
        <v>105</v>
      </c>
      <c r="N61">
        <v>0</v>
      </c>
      <c r="O61">
        <v>44.755000000000003</v>
      </c>
    </row>
    <row r="62" spans="1:15" x14ac:dyDescent="0.2">
      <c r="A62">
        <v>99</v>
      </c>
      <c r="B62" t="s">
        <v>220</v>
      </c>
      <c r="C62" t="s">
        <v>101</v>
      </c>
      <c r="D62" t="s">
        <v>1</v>
      </c>
      <c r="E62">
        <v>0</v>
      </c>
      <c r="F62">
        <v>0.29720000000000002</v>
      </c>
      <c r="G62" t="s">
        <v>3</v>
      </c>
      <c r="H62">
        <v>0</v>
      </c>
      <c r="I62">
        <v>81.694599999999994</v>
      </c>
      <c r="J62" t="s">
        <v>218</v>
      </c>
      <c r="K62">
        <v>0</v>
      </c>
      <c r="L62">
        <v>3123.6075000000001</v>
      </c>
      <c r="M62" t="s">
        <v>105</v>
      </c>
      <c r="N62">
        <v>0</v>
      </c>
      <c r="O62">
        <v>53.889600000000002</v>
      </c>
    </row>
    <row r="63" spans="1:15" x14ac:dyDescent="0.2">
      <c r="A63">
        <v>100</v>
      </c>
      <c r="B63" t="s">
        <v>220</v>
      </c>
      <c r="C63" t="s">
        <v>102</v>
      </c>
      <c r="D63" t="s">
        <v>1</v>
      </c>
      <c r="E63">
        <v>0</v>
      </c>
      <c r="F63">
        <v>0.34939999999999999</v>
      </c>
      <c r="G63" t="s">
        <v>3</v>
      </c>
      <c r="H63">
        <v>0</v>
      </c>
      <c r="I63">
        <v>100.95910000000001</v>
      </c>
      <c r="J63" t="s">
        <v>218</v>
      </c>
      <c r="K63">
        <v>0</v>
      </c>
      <c r="L63">
        <v>3245.4587999999999</v>
      </c>
      <c r="M63" t="s">
        <v>105</v>
      </c>
      <c r="N63">
        <v>0</v>
      </c>
      <c r="O63">
        <v>65.542400000000001</v>
      </c>
    </row>
    <row r="64" spans="1:15" x14ac:dyDescent="0.2">
      <c r="A64">
        <v>11</v>
      </c>
      <c r="B64" t="s">
        <v>219</v>
      </c>
      <c r="C64" t="s">
        <v>13</v>
      </c>
      <c r="D64" t="s">
        <v>1</v>
      </c>
      <c r="E64">
        <v>0</v>
      </c>
      <c r="F64">
        <v>0</v>
      </c>
      <c r="G64" t="s">
        <v>3</v>
      </c>
      <c r="H64">
        <v>0</v>
      </c>
      <c r="I64">
        <v>42.834800000000001</v>
      </c>
      <c r="J64" t="s">
        <v>218</v>
      </c>
      <c r="K64">
        <v>0</v>
      </c>
      <c r="L64">
        <v>1189.5070000000001</v>
      </c>
      <c r="M64" t="s">
        <v>105</v>
      </c>
      <c r="N64">
        <v>0</v>
      </c>
      <c r="O64">
        <v>19.188199999999998</v>
      </c>
    </row>
    <row r="65" spans="1:15" x14ac:dyDescent="0.2">
      <c r="A65">
        <v>27</v>
      </c>
      <c r="B65" t="s">
        <v>219</v>
      </c>
      <c r="C65" t="s">
        <v>29</v>
      </c>
      <c r="D65" t="s">
        <v>1</v>
      </c>
      <c r="E65">
        <v>0</v>
      </c>
      <c r="F65">
        <v>0</v>
      </c>
      <c r="G65" t="s">
        <v>3</v>
      </c>
      <c r="H65">
        <v>0</v>
      </c>
      <c r="I65">
        <v>39.374299999999998</v>
      </c>
      <c r="J65" t="s">
        <v>218</v>
      </c>
      <c r="K65">
        <v>0</v>
      </c>
      <c r="L65">
        <v>1165.4472000000001</v>
      </c>
      <c r="M65" t="s">
        <v>105</v>
      </c>
      <c r="N65">
        <v>0</v>
      </c>
      <c r="O65">
        <v>16.123000000000001</v>
      </c>
    </row>
    <row r="66" spans="1:15" x14ac:dyDescent="0.2">
      <c r="A66">
        <v>43</v>
      </c>
      <c r="B66" t="s">
        <v>227</v>
      </c>
      <c r="C66" t="s">
        <v>45</v>
      </c>
      <c r="D66" t="s">
        <v>1</v>
      </c>
      <c r="E66">
        <v>0</v>
      </c>
      <c r="F66">
        <v>0</v>
      </c>
      <c r="G66" t="s">
        <v>3</v>
      </c>
      <c r="H66">
        <v>0</v>
      </c>
      <c r="I66">
        <v>11.295199999999999</v>
      </c>
      <c r="J66" t="s">
        <v>218</v>
      </c>
      <c r="K66">
        <v>0</v>
      </c>
      <c r="L66">
        <v>915.84100000000001</v>
      </c>
      <c r="M66" t="s">
        <v>105</v>
      </c>
      <c r="N66">
        <v>0</v>
      </c>
      <c r="O66">
        <v>4.8129999999999997</v>
      </c>
    </row>
    <row r="67" spans="1:15" x14ac:dyDescent="0.2">
      <c r="A67">
        <v>73</v>
      </c>
      <c r="B67" t="s">
        <v>227</v>
      </c>
      <c r="C67" t="s">
        <v>75</v>
      </c>
      <c r="D67" t="s">
        <v>1</v>
      </c>
      <c r="E67">
        <v>0</v>
      </c>
      <c r="F67">
        <v>0</v>
      </c>
      <c r="G67" t="s">
        <v>3</v>
      </c>
      <c r="H67">
        <v>0</v>
      </c>
      <c r="I67">
        <v>10.415900000000001</v>
      </c>
      <c r="J67" t="s">
        <v>218</v>
      </c>
      <c r="K67">
        <v>0</v>
      </c>
      <c r="L67">
        <v>932.02560000000005</v>
      </c>
      <c r="M67" t="s">
        <v>105</v>
      </c>
      <c r="N67">
        <v>0</v>
      </c>
      <c r="O67">
        <v>6.4603999999999999</v>
      </c>
    </row>
    <row r="68" spans="1:15" x14ac:dyDescent="0.2">
      <c r="A68">
        <v>89</v>
      </c>
      <c r="B68" t="s">
        <v>227</v>
      </c>
      <c r="C68" t="s">
        <v>91</v>
      </c>
      <c r="D68" t="s">
        <v>1</v>
      </c>
      <c r="E68">
        <v>0</v>
      </c>
      <c r="F68">
        <v>0</v>
      </c>
      <c r="G68" t="s">
        <v>3</v>
      </c>
      <c r="H68">
        <v>0</v>
      </c>
      <c r="I68">
        <v>11.251200000000001</v>
      </c>
      <c r="J68" t="s">
        <v>218</v>
      </c>
      <c r="K68">
        <v>0</v>
      </c>
      <c r="L68">
        <v>920.36720000000003</v>
      </c>
      <c r="M68" t="s">
        <v>105</v>
      </c>
      <c r="N68">
        <v>0</v>
      </c>
      <c r="O68">
        <v>4.79</v>
      </c>
    </row>
    <row r="69" spans="1:15" x14ac:dyDescent="0.2">
      <c r="A69">
        <v>45</v>
      </c>
      <c r="B69" t="s">
        <v>231</v>
      </c>
      <c r="C69" t="s">
        <v>47</v>
      </c>
      <c r="D69" t="s">
        <v>1</v>
      </c>
      <c r="E69">
        <v>0.30000000000000004</v>
      </c>
      <c r="F69">
        <v>0.1396</v>
      </c>
      <c r="G69" t="s">
        <v>3</v>
      </c>
      <c r="H69">
        <v>69.166666666666671</v>
      </c>
      <c r="I69">
        <v>35.2515</v>
      </c>
      <c r="J69" t="s">
        <v>218</v>
      </c>
      <c r="K69">
        <v>34916.666666666664</v>
      </c>
      <c r="L69">
        <v>1834.2928999999999</v>
      </c>
      <c r="M69" t="s">
        <v>105</v>
      </c>
      <c r="N69">
        <v>5.4166666666666669E-2</v>
      </c>
      <c r="O69">
        <v>21.426400000000001</v>
      </c>
    </row>
    <row r="70" spans="1:15" x14ac:dyDescent="0.2">
      <c r="A70">
        <v>75</v>
      </c>
      <c r="B70" t="s">
        <v>231</v>
      </c>
      <c r="C70" t="s">
        <v>77</v>
      </c>
      <c r="D70" t="s">
        <v>1</v>
      </c>
      <c r="E70">
        <v>0.30000000000000004</v>
      </c>
      <c r="F70">
        <v>0.1522</v>
      </c>
      <c r="G70" t="s">
        <v>3</v>
      </c>
      <c r="H70">
        <v>69.166666666666671</v>
      </c>
      <c r="I70">
        <v>34.2288</v>
      </c>
      <c r="J70" t="s">
        <v>218</v>
      </c>
      <c r="K70">
        <v>34916.666666666664</v>
      </c>
      <c r="L70">
        <v>1846.8723</v>
      </c>
      <c r="M70" t="s">
        <v>105</v>
      </c>
      <c r="N70">
        <v>5.4166666666666669E-2</v>
      </c>
      <c r="O70">
        <v>19.209399999999999</v>
      </c>
    </row>
    <row r="71" spans="1:15" x14ac:dyDescent="0.2">
      <c r="A71">
        <v>91</v>
      </c>
      <c r="B71" t="s">
        <v>231</v>
      </c>
      <c r="C71" t="s">
        <v>93</v>
      </c>
      <c r="D71" t="s">
        <v>1</v>
      </c>
      <c r="E71">
        <v>0.30000000000000004</v>
      </c>
      <c r="G71" t="s">
        <v>3</v>
      </c>
      <c r="H71">
        <v>69.166666666666671</v>
      </c>
      <c r="J71" t="s">
        <v>218</v>
      </c>
      <c r="K71">
        <v>34916.666666666664</v>
      </c>
      <c r="L71">
        <v>1735.4905000000001</v>
      </c>
      <c r="M71" t="s">
        <v>105</v>
      </c>
      <c r="N71">
        <v>5.4166666666666669E-2</v>
      </c>
    </row>
    <row r="72" spans="1:15" x14ac:dyDescent="0.2">
      <c r="A72">
        <v>47</v>
      </c>
      <c r="B72" t="s">
        <v>228</v>
      </c>
      <c r="C72" t="s">
        <v>49</v>
      </c>
      <c r="D72" t="s">
        <v>1</v>
      </c>
      <c r="E72">
        <v>0.60000000000000009</v>
      </c>
      <c r="F72">
        <v>0.2175</v>
      </c>
      <c r="G72" t="s">
        <v>3</v>
      </c>
      <c r="H72">
        <v>138.33333333333334</v>
      </c>
      <c r="I72">
        <v>55.742800000000003</v>
      </c>
      <c r="J72" t="s">
        <v>218</v>
      </c>
      <c r="K72">
        <v>69833.333333333328</v>
      </c>
      <c r="L72">
        <v>2390.627</v>
      </c>
      <c r="M72" t="s">
        <v>105</v>
      </c>
      <c r="N72">
        <v>0.10833333333333334</v>
      </c>
      <c r="O72">
        <v>34.426600000000001</v>
      </c>
    </row>
    <row r="73" spans="1:15" x14ac:dyDescent="0.2">
      <c r="A73">
        <v>77</v>
      </c>
      <c r="B73" t="s">
        <v>228</v>
      </c>
      <c r="C73" t="s">
        <v>79</v>
      </c>
      <c r="D73" t="s">
        <v>1</v>
      </c>
      <c r="E73">
        <v>0.60000000000000009</v>
      </c>
      <c r="F73">
        <v>0.21029999999999999</v>
      </c>
      <c r="G73" t="s">
        <v>3</v>
      </c>
      <c r="H73">
        <v>138.33333333333334</v>
      </c>
      <c r="I73">
        <v>53.994</v>
      </c>
      <c r="J73" t="s">
        <v>218</v>
      </c>
      <c r="K73">
        <v>69833.333333333328</v>
      </c>
      <c r="L73">
        <v>2293.5387999999998</v>
      </c>
      <c r="M73" t="s">
        <v>105</v>
      </c>
      <c r="N73">
        <v>0.10833333333333334</v>
      </c>
      <c r="O73">
        <v>36.027099999999997</v>
      </c>
    </row>
    <row r="74" spans="1:15" x14ac:dyDescent="0.2">
      <c r="A74">
        <v>93</v>
      </c>
      <c r="B74" t="s">
        <v>228</v>
      </c>
      <c r="C74" t="s">
        <v>95</v>
      </c>
      <c r="D74" t="s">
        <v>1</v>
      </c>
      <c r="E74">
        <v>0.60000000000000009</v>
      </c>
      <c r="G74" t="s">
        <v>3</v>
      </c>
      <c r="H74">
        <v>138.33333333333334</v>
      </c>
      <c r="J74" t="s">
        <v>218</v>
      </c>
      <c r="K74">
        <v>69833.333333333328</v>
      </c>
      <c r="L74">
        <v>2103.5106000000001</v>
      </c>
      <c r="M74" t="s">
        <v>105</v>
      </c>
      <c r="N74">
        <v>0.10833333333333334</v>
      </c>
    </row>
    <row r="75" spans="1:15" x14ac:dyDescent="0.2">
      <c r="A75">
        <v>49</v>
      </c>
      <c r="B75" t="s">
        <v>232</v>
      </c>
      <c r="C75" t="s">
        <v>51</v>
      </c>
      <c r="D75" t="s">
        <v>1</v>
      </c>
      <c r="E75">
        <v>0.89999999999999991</v>
      </c>
      <c r="F75">
        <v>0.32090000000000002</v>
      </c>
      <c r="G75" t="s">
        <v>3</v>
      </c>
      <c r="H75">
        <v>207.5</v>
      </c>
      <c r="I75">
        <v>77.796499999999995</v>
      </c>
      <c r="J75" t="s">
        <v>218</v>
      </c>
      <c r="K75">
        <v>104750</v>
      </c>
      <c r="L75">
        <v>2778.5853999999999</v>
      </c>
      <c r="M75" t="s">
        <v>105</v>
      </c>
      <c r="N75">
        <v>0.16250000000000001</v>
      </c>
      <c r="O75">
        <v>50.606400000000001</v>
      </c>
    </row>
    <row r="76" spans="1:15" x14ac:dyDescent="0.2">
      <c r="A76">
        <v>79</v>
      </c>
      <c r="B76" t="s">
        <v>232</v>
      </c>
      <c r="C76" t="s">
        <v>81</v>
      </c>
      <c r="D76" t="s">
        <v>1</v>
      </c>
      <c r="E76">
        <v>0.89999999999999991</v>
      </c>
      <c r="F76">
        <v>0.30640000000000001</v>
      </c>
      <c r="G76" t="s">
        <v>3</v>
      </c>
      <c r="H76">
        <v>207.5</v>
      </c>
      <c r="I76">
        <v>81.463099999999997</v>
      </c>
      <c r="J76" t="s">
        <v>218</v>
      </c>
      <c r="K76">
        <v>104750</v>
      </c>
      <c r="L76">
        <v>2780.6727000000001</v>
      </c>
      <c r="M76" t="s">
        <v>105</v>
      </c>
      <c r="N76">
        <v>0.16250000000000001</v>
      </c>
      <c r="O76">
        <v>51.624299999999998</v>
      </c>
    </row>
    <row r="77" spans="1:15" x14ac:dyDescent="0.2">
      <c r="A77">
        <v>95</v>
      </c>
      <c r="B77" t="s">
        <v>232</v>
      </c>
      <c r="C77" t="s">
        <v>97</v>
      </c>
      <c r="D77" t="s">
        <v>1</v>
      </c>
      <c r="E77">
        <v>0.89999999999999991</v>
      </c>
      <c r="G77" t="s">
        <v>3</v>
      </c>
      <c r="H77">
        <v>207.5</v>
      </c>
      <c r="J77" t="s">
        <v>218</v>
      </c>
      <c r="K77">
        <v>104750</v>
      </c>
      <c r="L77">
        <v>2880.3919000000001</v>
      </c>
      <c r="M77" t="s">
        <v>105</v>
      </c>
      <c r="N77">
        <v>0.16250000000000001</v>
      </c>
    </row>
    <row r="78" spans="1:15" x14ac:dyDescent="0.2">
      <c r="A78">
        <v>51</v>
      </c>
      <c r="B78" t="s">
        <v>229</v>
      </c>
      <c r="C78" t="s">
        <v>53</v>
      </c>
      <c r="D78" t="s">
        <v>1</v>
      </c>
      <c r="E78">
        <v>1.2000000000000002</v>
      </c>
      <c r="F78">
        <v>0.37180000000000002</v>
      </c>
      <c r="G78" t="s">
        <v>3</v>
      </c>
      <c r="H78">
        <v>276.66666666666669</v>
      </c>
      <c r="I78">
        <v>99.141400000000004</v>
      </c>
      <c r="J78" t="s">
        <v>218</v>
      </c>
      <c r="K78">
        <v>139666.66666666666</v>
      </c>
      <c r="L78">
        <v>3264.2871</v>
      </c>
      <c r="M78" t="s">
        <v>105</v>
      </c>
      <c r="N78">
        <v>0.21666666666666667</v>
      </c>
      <c r="O78">
        <v>63.630400000000002</v>
      </c>
    </row>
    <row r="79" spans="1:15" x14ac:dyDescent="0.2">
      <c r="A79">
        <v>81</v>
      </c>
      <c r="B79" t="s">
        <v>229</v>
      </c>
      <c r="C79" t="s">
        <v>83</v>
      </c>
      <c r="D79" t="s">
        <v>1</v>
      </c>
      <c r="E79">
        <v>1.2000000000000002</v>
      </c>
      <c r="F79">
        <v>0.38300000000000001</v>
      </c>
      <c r="G79" t="s">
        <v>3</v>
      </c>
      <c r="H79">
        <v>276.66666666666669</v>
      </c>
      <c r="I79">
        <v>101.49679999999999</v>
      </c>
      <c r="J79" t="s">
        <v>218</v>
      </c>
      <c r="K79">
        <v>139666.66666666666</v>
      </c>
      <c r="L79">
        <v>3212.7058000000002</v>
      </c>
      <c r="M79" t="s">
        <v>105</v>
      </c>
      <c r="N79">
        <v>0.21666666666666667</v>
      </c>
      <c r="O79">
        <v>65.927099999999996</v>
      </c>
    </row>
    <row r="80" spans="1:15" x14ac:dyDescent="0.2">
      <c r="A80">
        <v>97</v>
      </c>
      <c r="B80" t="s">
        <v>229</v>
      </c>
      <c r="C80" t="s">
        <v>99</v>
      </c>
      <c r="D80" t="s">
        <v>1</v>
      </c>
      <c r="E80">
        <v>1.2000000000000002</v>
      </c>
      <c r="G80" t="s">
        <v>3</v>
      </c>
      <c r="H80">
        <v>276.66666666666669</v>
      </c>
      <c r="J80" t="s">
        <v>218</v>
      </c>
      <c r="K80">
        <v>139666.66666666666</v>
      </c>
      <c r="L80">
        <v>3522.2271999999998</v>
      </c>
      <c r="M80" t="s">
        <v>105</v>
      </c>
      <c r="N80">
        <v>0.21666666666666667</v>
      </c>
    </row>
    <row r="81" spans="1:15" x14ac:dyDescent="0.2">
      <c r="A81">
        <v>53</v>
      </c>
      <c r="B81" t="s">
        <v>233</v>
      </c>
      <c r="C81" t="s">
        <v>55</v>
      </c>
      <c r="D81" t="s">
        <v>1</v>
      </c>
      <c r="E81">
        <v>1.5</v>
      </c>
      <c r="F81">
        <v>0.47399999999999998</v>
      </c>
      <c r="G81" t="s">
        <v>3</v>
      </c>
      <c r="H81">
        <v>345.83333333333331</v>
      </c>
      <c r="I81">
        <v>114.974</v>
      </c>
      <c r="J81" t="s">
        <v>218</v>
      </c>
      <c r="K81">
        <v>174583.33333333334</v>
      </c>
      <c r="L81">
        <v>3489.7420000000002</v>
      </c>
      <c r="M81" t="s">
        <v>105</v>
      </c>
      <c r="N81">
        <v>0.27083333333333331</v>
      </c>
      <c r="O81">
        <v>75.39</v>
      </c>
    </row>
    <row r="82" spans="1:15" x14ac:dyDescent="0.2">
      <c r="A82">
        <v>83</v>
      </c>
      <c r="B82" t="s">
        <v>233</v>
      </c>
      <c r="C82" t="s">
        <v>85</v>
      </c>
      <c r="D82" t="s">
        <v>1</v>
      </c>
      <c r="E82">
        <v>1.5</v>
      </c>
      <c r="F82">
        <v>0.42680000000000001</v>
      </c>
      <c r="G82" t="s">
        <v>3</v>
      </c>
      <c r="H82">
        <v>345.83333333333331</v>
      </c>
      <c r="I82">
        <v>120.5926</v>
      </c>
      <c r="J82" t="s">
        <v>218</v>
      </c>
      <c r="K82">
        <v>174583.33333333334</v>
      </c>
      <c r="L82">
        <v>3380.2003</v>
      </c>
      <c r="M82" t="s">
        <v>105</v>
      </c>
      <c r="N82">
        <v>0.27083333333333331</v>
      </c>
      <c r="O82">
        <v>76.516800000000003</v>
      </c>
    </row>
    <row r="83" spans="1:15" x14ac:dyDescent="0.2">
      <c r="A83">
        <v>55</v>
      </c>
      <c r="B83" t="s">
        <v>230</v>
      </c>
      <c r="C83" t="s">
        <v>57</v>
      </c>
      <c r="D83" t="s">
        <v>1</v>
      </c>
      <c r="E83">
        <v>1.7999999999999998</v>
      </c>
      <c r="F83">
        <v>0.49</v>
      </c>
      <c r="G83" t="s">
        <v>3</v>
      </c>
      <c r="H83">
        <v>415</v>
      </c>
      <c r="I83">
        <v>137.46350000000001</v>
      </c>
      <c r="J83" t="s">
        <v>218</v>
      </c>
      <c r="K83">
        <v>209500</v>
      </c>
      <c r="L83">
        <v>3716.7166000000002</v>
      </c>
      <c r="M83" t="s">
        <v>105</v>
      </c>
      <c r="N83">
        <v>0.32500000000000001</v>
      </c>
      <c r="O83">
        <v>93.941800000000001</v>
      </c>
    </row>
    <row r="84" spans="1:15" x14ac:dyDescent="0.2">
      <c r="A84">
        <v>85</v>
      </c>
      <c r="B84" t="s">
        <v>230</v>
      </c>
      <c r="C84" t="s">
        <v>87</v>
      </c>
      <c r="D84" t="s">
        <v>1</v>
      </c>
      <c r="E84">
        <v>1.7999999999999998</v>
      </c>
      <c r="F84">
        <v>0.45619999999999999</v>
      </c>
      <c r="G84" t="s">
        <v>3</v>
      </c>
      <c r="H84">
        <v>415</v>
      </c>
      <c r="I84">
        <v>135.8554</v>
      </c>
      <c r="J84" t="s">
        <v>218</v>
      </c>
      <c r="K84">
        <v>209500</v>
      </c>
      <c r="L84">
        <v>3713.3326999999999</v>
      </c>
      <c r="M84" t="s">
        <v>105</v>
      </c>
      <c r="N84">
        <v>0.32500000000000001</v>
      </c>
      <c r="O84">
        <v>91.801400000000001</v>
      </c>
    </row>
    <row r="85" spans="1:15" x14ac:dyDescent="0.2">
      <c r="A85">
        <v>61</v>
      </c>
      <c r="B85" t="s">
        <v>234</v>
      </c>
      <c r="C85" t="s">
        <v>63</v>
      </c>
      <c r="D85" t="s">
        <v>1</v>
      </c>
      <c r="E85">
        <v>0</v>
      </c>
      <c r="F85">
        <v>0</v>
      </c>
      <c r="G85" t="s">
        <v>3</v>
      </c>
      <c r="H85">
        <v>0</v>
      </c>
      <c r="I85">
        <v>13.9597</v>
      </c>
      <c r="J85" t="s">
        <v>218</v>
      </c>
      <c r="K85">
        <v>0</v>
      </c>
      <c r="L85">
        <v>888.24390000000005</v>
      </c>
      <c r="M85" t="s">
        <v>105</v>
      </c>
      <c r="N85">
        <v>0</v>
      </c>
      <c r="O85">
        <v>5.0721999999999996</v>
      </c>
    </row>
    <row r="86" spans="1:15" x14ac:dyDescent="0.2">
      <c r="A86">
        <v>63</v>
      </c>
      <c r="B86" t="s">
        <v>235</v>
      </c>
      <c r="C86" t="s">
        <v>65</v>
      </c>
      <c r="D86" t="s">
        <v>1</v>
      </c>
      <c r="E86">
        <v>0</v>
      </c>
      <c r="F86">
        <v>0</v>
      </c>
      <c r="G86" t="s">
        <v>3</v>
      </c>
      <c r="H86">
        <v>0</v>
      </c>
      <c r="I86">
        <v>10.7902</v>
      </c>
      <c r="J86" t="s">
        <v>218</v>
      </c>
      <c r="K86">
        <v>27777.777777777777</v>
      </c>
      <c r="L86">
        <v>1656.2248999999999</v>
      </c>
      <c r="M86" t="s">
        <v>105</v>
      </c>
      <c r="N86">
        <v>0</v>
      </c>
      <c r="O86">
        <v>4.9977</v>
      </c>
    </row>
    <row r="87" spans="1:15" x14ac:dyDescent="0.2">
      <c r="A87">
        <v>65</v>
      </c>
      <c r="B87" t="s">
        <v>236</v>
      </c>
      <c r="C87" t="s">
        <v>67</v>
      </c>
      <c r="D87" t="s">
        <v>1</v>
      </c>
      <c r="E87">
        <v>0</v>
      </c>
      <c r="F87">
        <v>0</v>
      </c>
      <c r="G87" t="s">
        <v>3</v>
      </c>
      <c r="H87">
        <v>0</v>
      </c>
      <c r="I87">
        <v>11.0352</v>
      </c>
      <c r="J87" t="s">
        <v>218</v>
      </c>
      <c r="K87">
        <v>55555.555555555555</v>
      </c>
      <c r="L87">
        <v>2120.4117999999999</v>
      </c>
      <c r="M87" t="s">
        <v>105</v>
      </c>
      <c r="N87">
        <v>0</v>
      </c>
      <c r="O87">
        <v>7.9752000000000001</v>
      </c>
    </row>
    <row r="88" spans="1:15" x14ac:dyDescent="0.2">
      <c r="A88">
        <v>67</v>
      </c>
      <c r="B88" t="s">
        <v>237</v>
      </c>
      <c r="C88" t="s">
        <v>69</v>
      </c>
      <c r="D88" t="s">
        <v>1</v>
      </c>
      <c r="E88">
        <v>0</v>
      </c>
      <c r="F88">
        <v>0</v>
      </c>
      <c r="G88" t="s">
        <v>3</v>
      </c>
      <c r="H88">
        <v>0</v>
      </c>
      <c r="I88">
        <v>11.2407</v>
      </c>
      <c r="J88" t="s">
        <v>218</v>
      </c>
      <c r="K88">
        <v>111111.11111111111</v>
      </c>
      <c r="L88">
        <v>2885.2258999999999</v>
      </c>
      <c r="M88" t="s">
        <v>105</v>
      </c>
      <c r="N88">
        <v>0</v>
      </c>
      <c r="O88">
        <v>8.4201999999999995</v>
      </c>
    </row>
    <row r="89" spans="1:15" x14ac:dyDescent="0.2">
      <c r="A89">
        <v>69</v>
      </c>
      <c r="B89" t="s">
        <v>238</v>
      </c>
      <c r="C89" t="s">
        <v>71</v>
      </c>
      <c r="D89" t="s">
        <v>1</v>
      </c>
      <c r="E89">
        <v>0</v>
      </c>
      <c r="F89">
        <v>0</v>
      </c>
      <c r="G89" t="s">
        <v>3</v>
      </c>
      <c r="H89">
        <v>0</v>
      </c>
      <c r="I89">
        <v>9.1587999999999994</v>
      </c>
      <c r="J89" t="s">
        <v>218</v>
      </c>
      <c r="K89">
        <v>166666.66666666666</v>
      </c>
      <c r="L89">
        <v>3494.6612</v>
      </c>
      <c r="M89" t="s">
        <v>105</v>
      </c>
      <c r="N89">
        <v>0</v>
      </c>
      <c r="O89">
        <v>5.5534999999999997</v>
      </c>
    </row>
    <row r="90" spans="1:15" x14ac:dyDescent="0.2">
      <c r="A90">
        <v>13</v>
      </c>
      <c r="B90" t="s">
        <v>222</v>
      </c>
      <c r="C90" t="s">
        <v>15</v>
      </c>
      <c r="D90" t="s">
        <v>1</v>
      </c>
      <c r="E90">
        <v>0.97629999999999995</v>
      </c>
      <c r="F90">
        <v>0.21640000000000001</v>
      </c>
      <c r="G90" t="s">
        <v>3</v>
      </c>
      <c r="H90">
        <v>152.4</v>
      </c>
      <c r="I90">
        <v>90.793899999999994</v>
      </c>
      <c r="J90" t="s">
        <v>218</v>
      </c>
      <c r="K90">
        <v>180100</v>
      </c>
      <c r="L90">
        <v>3538.2838999999999</v>
      </c>
      <c r="M90" t="s">
        <v>105</v>
      </c>
      <c r="N90">
        <v>0.22800000000000001</v>
      </c>
      <c r="O90">
        <v>67.0398</v>
      </c>
    </row>
    <row r="91" spans="1:15" x14ac:dyDescent="0.2">
      <c r="A91">
        <v>29</v>
      </c>
      <c r="B91" t="s">
        <v>222</v>
      </c>
      <c r="C91" t="s">
        <v>31</v>
      </c>
      <c r="D91" t="s">
        <v>1</v>
      </c>
      <c r="E91">
        <v>0.97629999999999995</v>
      </c>
      <c r="F91">
        <v>0.2364</v>
      </c>
      <c r="G91" t="s">
        <v>3</v>
      </c>
      <c r="H91">
        <v>152.4</v>
      </c>
      <c r="I91">
        <v>91.222200000000001</v>
      </c>
      <c r="J91" t="s">
        <v>218</v>
      </c>
      <c r="K91">
        <v>180100</v>
      </c>
      <c r="L91">
        <v>3472.6210000000001</v>
      </c>
      <c r="M91" t="s">
        <v>105</v>
      </c>
      <c r="N91">
        <v>0.22800000000000001</v>
      </c>
      <c r="O91">
        <v>66.964399999999998</v>
      </c>
    </row>
    <row r="92" spans="1:15" x14ac:dyDescent="0.2">
      <c r="A92">
        <v>15</v>
      </c>
      <c r="B92" t="s">
        <v>221</v>
      </c>
      <c r="C92" t="s">
        <v>17</v>
      </c>
      <c r="D92" t="s">
        <v>1</v>
      </c>
      <c r="E92">
        <v>3.008</v>
      </c>
      <c r="F92">
        <v>0.66100000000000003</v>
      </c>
      <c r="G92" t="s">
        <v>3</v>
      </c>
      <c r="H92">
        <v>426.2</v>
      </c>
      <c r="I92">
        <v>169.85300000000001</v>
      </c>
      <c r="J92" t="s">
        <v>218</v>
      </c>
      <c r="K92">
        <v>240100</v>
      </c>
      <c r="L92">
        <v>3998.8420000000001</v>
      </c>
      <c r="M92" t="s">
        <v>105</v>
      </c>
      <c r="N92">
        <v>0.379</v>
      </c>
      <c r="O92">
        <v>107.5364</v>
      </c>
    </row>
    <row r="93" spans="1:15" x14ac:dyDescent="0.2">
      <c r="A93">
        <v>31</v>
      </c>
      <c r="B93" t="s">
        <v>221</v>
      </c>
      <c r="C93" t="s">
        <v>33</v>
      </c>
      <c r="D93" t="s">
        <v>1</v>
      </c>
      <c r="E93">
        <v>3.008</v>
      </c>
      <c r="F93">
        <v>0.65280000000000005</v>
      </c>
      <c r="G93" t="s">
        <v>3</v>
      </c>
      <c r="H93">
        <v>426.2</v>
      </c>
      <c r="I93">
        <v>171.66300000000001</v>
      </c>
      <c r="J93" t="s">
        <v>218</v>
      </c>
      <c r="K93">
        <v>240100</v>
      </c>
      <c r="L93">
        <v>3973.6605</v>
      </c>
      <c r="M93" t="s">
        <v>105</v>
      </c>
      <c r="N93">
        <v>0.379</v>
      </c>
      <c r="O93">
        <v>105.8222</v>
      </c>
    </row>
    <row r="94" spans="1:15" x14ac:dyDescent="0.2">
      <c r="A94">
        <v>17</v>
      </c>
      <c r="B94" t="s">
        <v>223</v>
      </c>
      <c r="C94" t="s">
        <v>19</v>
      </c>
      <c r="D94" t="s">
        <v>1</v>
      </c>
      <c r="E94">
        <v>20.64</v>
      </c>
      <c r="F94">
        <v>4.5819999999999999</v>
      </c>
      <c r="G94" t="s">
        <v>3</v>
      </c>
      <c r="H94">
        <v>2013</v>
      </c>
      <c r="I94">
        <v>608.41579999999999</v>
      </c>
      <c r="J94" t="s">
        <v>218</v>
      </c>
      <c r="K94">
        <v>200500</v>
      </c>
      <c r="L94">
        <v>3708.5252</v>
      </c>
      <c r="M94" t="s">
        <v>105</v>
      </c>
      <c r="N94">
        <v>0.495</v>
      </c>
      <c r="O94">
        <v>159.18940000000001</v>
      </c>
    </row>
    <row r="95" spans="1:15" x14ac:dyDescent="0.2">
      <c r="A95">
        <v>33</v>
      </c>
      <c r="B95" t="s">
        <v>223</v>
      </c>
      <c r="C95" t="s">
        <v>35</v>
      </c>
      <c r="D95" t="s">
        <v>1</v>
      </c>
      <c r="E95">
        <v>20.64</v>
      </c>
      <c r="F95">
        <v>4.6113999999999997</v>
      </c>
      <c r="G95" t="s">
        <v>3</v>
      </c>
      <c r="H95">
        <v>2013</v>
      </c>
      <c r="I95">
        <v>607.73500000000001</v>
      </c>
      <c r="J95" t="s">
        <v>218</v>
      </c>
      <c r="K95">
        <v>200500</v>
      </c>
      <c r="L95">
        <v>3622.2973999999999</v>
      </c>
      <c r="M95" t="s">
        <v>105</v>
      </c>
      <c r="N95">
        <v>0.495</v>
      </c>
      <c r="O95">
        <v>163.59119999999999</v>
      </c>
    </row>
    <row r="96" spans="1:15" x14ac:dyDescent="0.2">
      <c r="A96">
        <v>19</v>
      </c>
      <c r="B96" t="s">
        <v>224</v>
      </c>
      <c r="C96" t="s">
        <v>21</v>
      </c>
      <c r="D96" t="s">
        <v>1</v>
      </c>
      <c r="E96">
        <v>201.4</v>
      </c>
      <c r="F96">
        <v>46.089799999999997</v>
      </c>
      <c r="G96" t="s">
        <v>3</v>
      </c>
      <c r="H96">
        <v>4967</v>
      </c>
      <c r="I96">
        <v>1441.5491999999999</v>
      </c>
      <c r="J96" t="s">
        <v>218</v>
      </c>
      <c r="K96">
        <v>200700</v>
      </c>
      <c r="L96">
        <v>3685.1797999999999</v>
      </c>
      <c r="M96" t="s">
        <v>105</v>
      </c>
      <c r="N96">
        <v>2.4900000000000002</v>
      </c>
      <c r="O96">
        <v>700.85940000000005</v>
      </c>
    </row>
    <row r="97" spans="1:15" x14ac:dyDescent="0.2">
      <c r="A97">
        <v>35</v>
      </c>
      <c r="B97" t="s">
        <v>224</v>
      </c>
      <c r="C97" t="s">
        <v>37</v>
      </c>
      <c r="D97" t="s">
        <v>1</v>
      </c>
      <c r="E97">
        <v>201.4</v>
      </c>
      <c r="F97">
        <v>46.722200000000001</v>
      </c>
      <c r="G97" t="s">
        <v>3</v>
      </c>
      <c r="H97">
        <v>4967</v>
      </c>
      <c r="I97">
        <v>1431.9007999999999</v>
      </c>
      <c r="J97" t="s">
        <v>218</v>
      </c>
      <c r="K97">
        <v>200700</v>
      </c>
      <c r="L97">
        <v>3779.8296</v>
      </c>
      <c r="M97" t="s">
        <v>105</v>
      </c>
      <c r="N97">
        <v>2.4900000000000002</v>
      </c>
      <c r="O97">
        <v>695.37929999999994</v>
      </c>
    </row>
    <row r="98" spans="1:15" x14ac:dyDescent="0.2">
      <c r="A98">
        <v>21</v>
      </c>
      <c r="B98" t="s">
        <v>225</v>
      </c>
      <c r="C98" t="s">
        <v>23</v>
      </c>
      <c r="D98" t="s">
        <v>1</v>
      </c>
      <c r="E98">
        <v>5029</v>
      </c>
      <c r="F98">
        <v>1168.6967999999999</v>
      </c>
      <c r="G98" t="s">
        <v>3</v>
      </c>
      <c r="H98">
        <v>10080</v>
      </c>
      <c r="I98">
        <v>2767.3438000000001</v>
      </c>
      <c r="J98" t="s">
        <v>218</v>
      </c>
      <c r="K98">
        <v>202000</v>
      </c>
      <c r="L98">
        <v>3714.3755999999998</v>
      </c>
      <c r="M98" t="s">
        <v>105</v>
      </c>
      <c r="N98">
        <v>5</v>
      </c>
      <c r="O98">
        <v>1355.2818</v>
      </c>
    </row>
    <row r="99" spans="1:15" x14ac:dyDescent="0.2">
      <c r="A99">
        <v>37</v>
      </c>
      <c r="B99" t="s">
        <v>225</v>
      </c>
      <c r="C99" t="s">
        <v>39</v>
      </c>
      <c r="D99" t="s">
        <v>1</v>
      </c>
      <c r="E99">
        <v>5029</v>
      </c>
      <c r="F99">
        <v>1156.5942</v>
      </c>
      <c r="G99" t="s">
        <v>3</v>
      </c>
      <c r="H99">
        <v>10080</v>
      </c>
      <c r="I99">
        <v>2763.1037999999999</v>
      </c>
      <c r="J99" t="s">
        <v>218</v>
      </c>
      <c r="K99">
        <v>202000</v>
      </c>
      <c r="L99">
        <v>3804.5131999999999</v>
      </c>
      <c r="M99" t="s">
        <v>105</v>
      </c>
      <c r="N99">
        <v>5</v>
      </c>
      <c r="O99">
        <v>1373.2383</v>
      </c>
    </row>
    <row r="100" spans="1:15" x14ac:dyDescent="0.2">
      <c r="A100">
        <v>23</v>
      </c>
      <c r="B100" t="s">
        <v>226</v>
      </c>
      <c r="C100" t="s">
        <v>25</v>
      </c>
      <c r="D100" t="s">
        <v>1</v>
      </c>
      <c r="E100">
        <v>60340</v>
      </c>
      <c r="F100">
        <v>9950.0195000000003</v>
      </c>
      <c r="G100" t="s">
        <v>3</v>
      </c>
      <c r="H100">
        <v>49990</v>
      </c>
      <c r="I100">
        <v>12066.329</v>
      </c>
      <c r="J100" t="s">
        <v>218</v>
      </c>
      <c r="K100">
        <v>0</v>
      </c>
      <c r="L100">
        <v>1166.1043999999999</v>
      </c>
      <c r="M100" t="s">
        <v>105</v>
      </c>
      <c r="N100">
        <v>20</v>
      </c>
      <c r="O100">
        <v>4914.8746000000001</v>
      </c>
    </row>
    <row r="101" spans="1:15" x14ac:dyDescent="0.2">
      <c r="A101">
        <v>39</v>
      </c>
      <c r="B101" t="s">
        <v>226</v>
      </c>
      <c r="C101" t="s">
        <v>41</v>
      </c>
      <c r="D101" t="s">
        <v>1</v>
      </c>
      <c r="E101">
        <v>60340</v>
      </c>
      <c r="F101">
        <v>9759.4382000000005</v>
      </c>
      <c r="G101" t="s">
        <v>3</v>
      </c>
      <c r="H101">
        <v>49990</v>
      </c>
      <c r="I101">
        <v>11935.251</v>
      </c>
      <c r="J101" t="s">
        <v>218</v>
      </c>
      <c r="K101">
        <v>0</v>
      </c>
      <c r="L101">
        <v>1240.4482</v>
      </c>
      <c r="M101" t="s">
        <v>105</v>
      </c>
      <c r="N101">
        <v>20</v>
      </c>
      <c r="O101">
        <v>4884.9441999999999</v>
      </c>
    </row>
  </sheetData>
  <sortState ref="A2:O101">
    <sortCondition ref="B1:B1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Std Conc</vt:lpstr>
      <vt:lpstr>Merge Std Conc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Karosas, Jonas</dc:creator>
  <cp:lastModifiedBy>Microsoft Office User</cp:lastModifiedBy>
  <dcterms:created xsi:type="dcterms:W3CDTF">2022-09-29T14:25:04Z</dcterms:created>
  <dcterms:modified xsi:type="dcterms:W3CDTF">2022-09-30T02:05:35Z</dcterms:modified>
</cp:coreProperties>
</file>